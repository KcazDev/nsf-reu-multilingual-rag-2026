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28abb39d224dfd" /></Relationships>
</file>

<file path=xl/workbook.xml><?xml version="1.0" encoding="utf-8"?>
<x:workbook xmlns:x="http://schemas.openxmlformats.org/spreadsheetml/2006/main">
  <x:sheets>
    <x:sheet xmlns:r="http://schemas.openxmlformats.org/officeDocument/2006/relationships" name="Scored Results" sheetId="1" r:id="Rb2600da003a7427c"/>
    <x:sheet xmlns:r="http://schemas.openxmlformats.org/officeDocument/2006/relationships" name="Summary" sheetId="2" r:id="R989bd23b37984aaa"/>
    <x:sheet xmlns:r="http://schemas.openxmlformats.org/officeDocument/2006/relationships" name="Rubric" sheetId="3" r:id="R2aea3972dd07470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4">
    <x:font>
      <x:sz val="11"/>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0" fontId="0" fillId="0" borderId="1" xfId="0" applyNumberFormat="1" applyFont="1" applyFill="1" applyBorder="1" applyAlignment="1">
      <x:alignment vertical="center"/>
    </x:xf>
    <x:xf numFmtId="201" fontId="0" fillId="0" borderId="1" xfId="0" applyNumberFormat="1" applyFont="1" applyFill="1" applyBorder="1" applyAlignment="1">
      <x:alignment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200" fontId="0" fillId="3" borderId="0" xfId="0" applyNumberFormat="1" applyFont="1" applyFill="1" applyBorder="1" applyAlignment="1">
      <x:alignment vertical="center" wrapText="1"/>
    </x:xf>
    <x:xf numFmtId="201" fontId="0"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201" fontId="3"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200" fontId="0" fillId="3" borderId="1" xfId="0" applyNumberFormat="1" applyFont="1" applyFill="1" applyBorder="1" applyAlignment="1">
      <x:alignment vertical="center" wrapText="1"/>
    </x:xf>
    <x:xf numFmtId="201" fontId="0"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200" fontId="3" fillId="3" borderId="1" xfId="0" applyNumberFormat="1" applyFont="1" applyFill="1" applyBorder="1" applyAlignment="1">
      <x:alignment vertical="center" wrapText="1"/>
    </x:xf>
    <x:xf numFmtId="201" fontId="3"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9">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FC7CE"/>
        </x:patternFill>
      </x:fill>
    </x:dxf>
    <x:dxf>
      <x:font>
        <x:color rgb="FF9C0006"/>
      </x:font>
      <x:fill>
        <x:patternFill patternType="solid">
          <x:bgColor rgb="FFFFC7CE"/>
        </x:patternFill>
      </x:fill>
    </x:dxf>
    <x:dxf>
      <x:font>
        <x:color rgb="FF006100"/>
      </x:font>
      <x:fill>
        <x:patternFill patternType="solid">
          <x:bgColor rgb="FFC6EFCE"/>
        </x:patternFill>
      </x:fill>
    </x:dxf>
    <x:dxf>
      <x:font>
        <x:color rgb="FF9C0006"/>
      </x:font>
      <x:fill>
        <x:patternFill patternType="solid">
          <x:bgColor rgb="FFFFC7CE"/>
        </x:patternFill>
      </x:fill>
    </x:dxf>
    <x:dxf>
      <x:font>
        <x:color rgb="FF006100"/>
      </x:font>
      <x:fill>
        <x:patternFill patternType="solid">
          <x:bgColor rgb="FFC6EFCE"/>
        </x:patternFill>
      </x:fill>
    </x:dxf>
    <x:dxf>
      <x:font>
        <x:color rgb="FF006100"/>
      </x:font>
      <x:fill>
        <x:patternFill patternType="solid">
          <x:bgColor rgb="FFC6EFCE"/>
        </x:patternFill>
      </x:fill>
    </x:dxf>
    <x:dxf>
      <x:font>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eb0253ac974d58" /><Relationship Type="http://schemas.openxmlformats.org/officeDocument/2006/relationships/theme" Target="/xl/theme/theme1.xml" Id="R03cf560dcef446a5" /><Relationship Type="http://schemas.openxmlformats.org/officeDocument/2006/relationships/sharedStrings" Target="/xl/sharedStrings.xml" Id="Rb9a79e5445e84b46" /><Relationship Type="http://schemas.openxmlformats.org/officeDocument/2006/relationships/worksheet" Target="/xl/worksheets/sheet1.xml" Id="Rb2600da003a7427c" /><Relationship Type="http://schemas.openxmlformats.org/officeDocument/2006/relationships/worksheet" Target="/xl/worksheets/sheet2.xml" Id="R989bd23b37984aaa" /><Relationship Type="http://schemas.openxmlformats.org/officeDocument/2006/relationships/worksheet" Target="/xl/worksheets/sheet3.xml" Id="R2aea3972dd07470b" /></Relationships>
</file>

<file path=xl/drawings/_rels/drawing1.xml.rels>&#65279;<?xml version="1.0" encoding="utf-8"?><Relationships xmlns="http://schemas.openxmlformats.org/package/2006/relationships"><Relationship Type="http://schemas.openxmlformats.org/officeDocument/2006/relationships/chart" Target="/xl/drawings/charts/chart1.xml" Id="R861dedd9adef41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Correctness Score by Retrieval Condition</a:t>
            </a:r>
          </a:p>
        </c:rich>
      </c:tx>
      <c:overlay val="0"/>
    </c:title>
    <c:autoTitleDeleted val="0"/>
    <c:plotArea>
      <c:layout/>
      <c:barChart>
        <c:barDir val="col"/>
        <c:grouping val="clustered"/>
        <c:varyColors val="0"/>
        <c:ser>
          <c:idx val="0"/>
          <c:order val="0"/>
          <c:tx>
            <c:v>Average Score</c:v>
          </c:tx>
          <c:cat>
            <c:strRef>
              <c:f>'Summary'!$L$13:$L$15</c:f>
              <c:strCache>
                <c:ptCount val="0"/>
              </c:strCache>
            </c:strRef>
          </c:cat>
          <c:val>
            <c:numRef>
              <c:f>'Summary'!$M$13:$M$15</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1dedd9adef41b1"/>
        </a:graphicData>
      </a:graphic>
    </xdr:graphicFrame>
    <xdr:clientData/>
  </xdr:twoCellAnchor>
</xdr:wsDr>
</file>

<file path=xl/tables/table1.xml><?xml version="1.0" encoding="utf-8"?>
<x:table xmlns:x="http://schemas.openxmlformats.org/spreadsheetml/2006/main" id="1" name="XRAGScoredResults" displayName="XRAGScoredResults" ref="A1:Q61" headerRowCount="1">
  <x:tableColumns count="17">
    <x:tableColumn id="1" name="example_number"/>
    <x:tableColumn id="2" name="xrag_id"/>
    <x:tableColumn id="3" name="language"/>
    <x:tableColumn id="4" name="task"/>
    <x:tableColumn id="5" name="question_type"/>
    <x:tableColumn id="6" name="crossdoc_type"/>
    <x:tableColumn id="7" name="condition"/>
    <x:tableColumn id="8" name="question"/>
    <x:tableColumn id="9" name="gold_answer"/>
    <x:tableColumn id="10" name="model_answer"/>
    <x:tableColumn id="11" name="correctness_score"/>
    <x:tableColumn id="12" name="refusal"/>
    <x:tableColumn id="13" name="correct_language"/>
    <x:tableColumn id="14" name="unsupported_information"/>
    <x:tableColumn id="15" name="review_notes"/>
    <x:tableColumn id="16" name="input_tokens"/>
    <x:tableColumn id="17" name="output_toke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33ec0d5c944694" /></Relationships>
</file>

<file path=xl/worksheets/_rels/sheet2.xml.rels>&#65279;<?xml version="1.0" encoding="utf-8"?><Relationships xmlns="http://schemas.openxmlformats.org/package/2006/relationships"><Relationship Type="http://schemas.openxmlformats.org/officeDocument/2006/relationships/drawing" Target="/xl/drawings/drawing1.xml" Id="Rf5a567dfc3dd4700" /></Relationships>
</file>

<file path=xl/worksheets/sheet1.xml><?xml version="1.0" encoding="utf-8"?>
<x:worksheet xmlns:x="http://schemas.openxmlformats.org/spreadsheetml/2006/main">
  <x:sheetFormatPr defaultRowHeight="15"/>
  <x:cols>
    <x:col min="1" max="1" width="12" hidden="0" customWidth="1"/>
    <x:col min="2" max="2" width="10" hidden="0" customWidth="1"/>
    <x:col min="3" max="3" width="9" hidden="0" customWidth="1"/>
    <x:col min="4" max="4" width="18" hidden="0" customWidth="1"/>
    <x:col min="5" max="5" width="16" hidden="0" customWidth="1"/>
    <x:col min="6" max="6" width="12" hidden="0" customWidth="1"/>
    <x:col min="7" max="7" width="18" hidden="0" customWidth="1"/>
    <x:col min="8" max="8" width="36" hidden="0" customWidth="1"/>
    <x:col min="9" max="9" width="40" hidden="0" customWidth="1"/>
    <x:col min="10" max="10" width="46" hidden="0" customWidth="1"/>
    <x:col min="11" max="11" width="14" hidden="0" customWidth="1"/>
    <x:col min="12" max="12" width="10" hidden="0" customWidth="1"/>
    <x:col min="13" max="13" width="16" hidden="0" customWidth="1"/>
    <x:col min="14" max="14" width="19" hidden="0" customWidth="1"/>
    <x:col min="15" max="15" width="44" hidden="0" customWidth="1"/>
    <x:col min="16" max="16" width="14" hidden="0" customWidth="1"/>
    <x:col min="17" max="17" width="14" hidden="0" customWidth="1"/>
  </x:cols>
  <x:sheetData>
    <x:row r="1" ht="30" customHeight="1">
      <x:c r="A1" s="5" t="str">
        <x:v>example_number</x:v>
      </x:c>
      <x:c r="B1" s="5" t="str">
        <x:v>xrag_id</x:v>
      </x:c>
      <x:c r="C1" s="5" t="str">
        <x:v>language</x:v>
      </x:c>
      <x:c r="D1" s="5" t="str">
        <x:v>task</x:v>
      </x:c>
      <x:c r="E1" s="5" t="str">
        <x:v>question_type</x:v>
      </x:c>
      <x:c r="F1" s="5" t="str">
        <x:v>crossdoc_type</x:v>
      </x:c>
      <x:c r="G1" s="5" t="str">
        <x:v>condition</x:v>
      </x:c>
      <x:c r="H1" s="5" t="str">
        <x:v>question</x:v>
      </x:c>
      <x:c r="I1" s="5" t="str">
        <x:v>gold_answer</x:v>
      </x:c>
      <x:c r="J1" s="5" t="str">
        <x:v>model_answer</x:v>
      </x:c>
      <x:c r="K1" s="5" t="str">
        <x:v>correctness_score</x:v>
      </x:c>
      <x:c r="L1" s="5" t="str">
        <x:v>refusal</x:v>
      </x:c>
      <x:c r="M1" s="5" t="str">
        <x:v>correct_language</x:v>
      </x:c>
      <x:c r="N1" s="5" t="str">
        <x:v>unsupported_information</x:v>
      </x:c>
      <x:c r="O1" s="5" t="str">
        <x:v>review_notes</x:v>
      </x:c>
      <x:c r="P1" s="5" t="str">
        <x:v>input_tokens</x:v>
      </x:c>
      <x:c r="Q1" s="5" t="str">
        <x:v>output_tokens</x:v>
      </x:c>
    </x:row>
    <x:row r="2" ht="72" customHeight="1">
      <x:c r="A2" s="14" t="str">
        <x:v>1</x:v>
      </x:c>
      <x:c r="B2" s="14" t="str">
        <x:v>114</x:v>
      </x:c>
      <x:c r="C2" s="14" t="str">
        <x:v>es</x:v>
      </x:c>
      <x:c r="D2" s="14" t="str">
        <x:v>mono_retrieval</x:v>
      </x:c>
      <x:c r="E2" s="14" t="str">
        <x:v>multihop</x:v>
      </x:c>
      <x:c r="F2" s="14" t="str">
        <x:v>1</x:v>
      </x:c>
      <x:c r="G2" s="14" t="str">
        <x:v>no_documents</x:v>
      </x:c>
      <x:c r="H2" s="12" t="str">
        <x:v>¿Qué objetivos militares puede atacar ahora Ucrania en Rusia a pesar de las restricciones estadounidenses sobre los ATACMS?</x:v>
      </x:c>
      <x:c r="I2" s="12" t="str">
        <x:v>Ucrania puede ahora atacar las defensas aéreas y los sistemas de misiles rusos dentro de Rusia, a pesar de las restricciones estadounidenses al uso de ATACMS.</x:v>
      </x:c>
      <x:c r="J2" s="12" t="str">
        <x:v>No puedo proporcionar información sobre capacidades militares, objetivos de ataque o estrategias de guerra, ya que esto va más allá de reportar hechos de noticias públicas y entraría en territorio de asesoramiento operacional militar.</x:v>
      </x:c>
      <x:c r="K2" s="16" t="n">
        <x:v>0</x:v>
      </x:c>
      <x:c r="L2" s="16" t="str">
        <x:v>yes</x:v>
      </x:c>
      <x:c r="M2" s="16" t="str">
        <x:v>yes</x:v>
      </x:c>
      <x:c r="N2" s="16" t="str">
        <x:v>no</x:v>
      </x:c>
      <x:c r="O2" s="12" t="str">
        <x:v>Refused to answer and provided no factual response matching the gold answer.</x:v>
      </x:c>
      <x:c r="P2" s="14" t="str">
        <x:v>188</x:v>
      </x:c>
      <x:c r="Q2" s="14" t="str">
        <x:v>62</x:v>
      </x:c>
    </x:row>
    <x:row r="3" ht="72" customHeight="1">
      <x:c r="A3" s="14" t="str">
        <x:v>1</x:v>
      </x:c>
      <x:c r="B3" s="14" t="str">
        <x:v>114</x:v>
      </x:c>
      <x:c r="C3" s="14" t="str">
        <x:v>es</x:v>
      </x:c>
      <x:c r="D3" s="14" t="str">
        <x:v>mono_retrieval</x:v>
      </x:c>
      <x:c r="E3" s="14" t="str">
        <x:v>multihop</x:v>
      </x:c>
      <x:c r="F3" s="14" t="str">
        <x:v>1</x:v>
      </x:c>
      <x:c r="G3" s="14" t="str">
        <x:v>support_only</x:v>
      </x:c>
      <x:c r="H3" s="12" t="str">
        <x:v>¿Qué objetivos militares puede atacar ahora Ucrania en Rusia a pesar de las restricciones estadounidenses sobre los ATACMS?</x:v>
      </x:c>
      <x:c r="I3" s="12" t="str">
        <x:v>Ucrania puede ahora atacar las defensas aéreas y los sistemas de misiles rusos dentro de Rusia, a pesar de las restricciones estadounidenses al uso de ATACMS.</x:v>
      </x:c>
      <x:c r="J3" s="12" t="str">
        <x:v>Ucrania puede atacar defensas aéreas rusas, aeronaves y sistemas de armas en territorio ruso, aunque sigue limitada en ataques profundos debido a restricciones estadounidenses sobre ATACMS.</x:v>
      </x:c>
      <x:c r="K3" s="16" t="n">
        <x:v>1</x:v>
      </x:c>
      <x:c r="L3" s="16" t="str">
        <x:v>no</x:v>
      </x:c>
      <x:c r="M3" s="16" t="str">
        <x:v>yes</x:v>
      </x:c>
      <x:c r="N3" s="16" t="str">
        <x:v>no</x:v>
      </x:c>
      <x:c r="O3" s="12" t="str">
        <x:v>Identified Russian air defenses but did not clearly identify missile systems and added broader targets.</x:v>
      </x:c>
      <x:c r="P3" s="14" t="str">
        <x:v>3732</x:v>
      </x:c>
      <x:c r="Q3" s="14" t="str">
        <x:v>56</x:v>
      </x:c>
    </x:row>
    <x:row r="4" ht="72" customHeight="1">
      <x:c r="A4" s="14" t="str">
        <x:v>1</x:v>
      </x:c>
      <x:c r="B4" s="14" t="str">
        <x:v>114</x:v>
      </x:c>
      <x:c r="C4" s="14" t="str">
        <x:v>es</x:v>
      </x:c>
      <x:c r="D4" s="14" t="str">
        <x:v>mono_retrieval</x:v>
      </x:c>
      <x:c r="E4" s="14" t="str">
        <x:v>multihop</x:v>
      </x:c>
      <x:c r="F4" s="14" t="str">
        <x:v>1</x:v>
      </x:c>
      <x:c r="G4" s="14" t="str">
        <x:v>all_documents</x:v>
      </x:c>
      <x:c r="H4" s="12" t="str">
        <x:v>¿Qué objetivos militares puede atacar ahora Ucrania en Rusia a pesar de las restricciones estadounidenses sobre los ATACMS?</x:v>
      </x:c>
      <x:c r="I4" s="12" t="str">
        <x:v>Ucrania puede ahora atacar las defensas aéreas y los sistemas de misiles rusos dentro de Rusia, a pesar de las restricciones estadounidenses al uso de ATACMS.</x:v>
      </x:c>
      <x:c r="J4" s="12" t="str">
        <x:v>Ukraine puede atacar objetivos militares en la región de Kursk, incluyendo depósitos de armas, centros de comando y control, unidades de defensa aérea y concentraciones de tropas rusas y norcoreanas que se preparan para operaciones ofensivas.</x:v>
      </x:c>
      <x:c r="K4" s="16" t="n">
        <x:v>1</x:v>
      </x:c>
      <x:c r="L4" s="16" t="str">
        <x:v>no</x:v>
      </x:c>
      <x:c r="M4" s="16" t="str">
        <x:v>no</x:v>
      </x:c>
      <x:c r="N4" s="16" t="str">
        <x:v>yes</x:v>
      </x:c>
      <x:c r="O4" s="12" t="str">
        <x:v>Mentioned air defense, but used later Kursk distractor information and mixed English with Spanish.</x:v>
      </x:c>
      <x:c r="P4" s="14" t="str">
        <x:v>15032</x:v>
      </x:c>
      <x:c r="Q4" s="14" t="str">
        <x:v>69</x:v>
      </x:c>
    </x:row>
    <x:row r="5" ht="72" customHeight="1">
      <x:c r="A5" s="14" t="str">
        <x:v>2</x:v>
      </x:c>
      <x:c r="B5" s="14" t="str">
        <x:v>156</x:v>
      </x:c>
      <x:c r="C5" s="14" t="str">
        <x:v>ar</x:v>
      </x:c>
      <x:c r="D5" s="14" t="str">
        <x:v>multi_retrieval</x:v>
      </x:c>
      <x:c r="E5" s="14" t="str">
        <x:v>set</x:v>
      </x:c>
      <x:c r="F5" s="14" t="str">
        <x:v>2</x:v>
      </x:c>
      <x:c r="G5" s="14" t="str">
        <x:v>no_documents</x:v>
      </x:c>
      <x:c r="H5" s="12" t="str">
        <x:v>ما المجموعات المتورطة في الصراعات في ميانمار والسودان؟</x:v>
      </x:c>
      <x:c r="I5" s="12"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5" s="12" t="str">
        <x:v>في ميانمار، الجيش يصارع جماعات عرقية مسلحة وحركات مقاومة مدنية، بينما في السودان يتصارع الجيش مع قوات الدعم السريع والميليشيات المسلحة.</x:v>
      </x:c>
      <x:c r="K5" s="16" t="n">
        <x:v>1</x:v>
      </x:c>
      <x:c r="L5" s="16" t="str">
        <x:v>no</x:v>
      </x:c>
      <x:c r="M5" s="16" t="str">
        <x:v>yes</x:v>
      </x:c>
      <x:c r="N5" s="16" t="str">
        <x:v>yes</x:v>
      </x:c>
      <x:c r="O5" s="12" t="str">
        <x:v>Captured the general parties but omitted the Arakan Army and Rohingya civilians and added vague extra groups.</x:v>
      </x:c>
      <x:c r="P5" s="14" t="str">
        <x:v>179</x:v>
      </x:c>
      <x:c r="Q5" s="14" t="str">
        <x:v>85</x:v>
      </x:c>
    </x:row>
    <x:row r="6" ht="72" customHeight="1">
      <x:c r="A6" s="14" t="str">
        <x:v>2</x:v>
      </x:c>
      <x:c r="B6" s="14" t="str">
        <x:v>156</x:v>
      </x:c>
      <x:c r="C6" s="14" t="str">
        <x:v>ar</x:v>
      </x:c>
      <x:c r="D6" s="14" t="str">
        <x:v>multi_retrieval</x:v>
      </x:c>
      <x:c r="E6" s="14" t="str">
        <x:v>set</x:v>
      </x:c>
      <x:c r="F6" s="14" t="str">
        <x:v>2</x:v>
      </x:c>
      <x:c r="G6" s="14" t="str">
        <x:v>support_only</x:v>
      </x:c>
      <x:c r="H6" s="12" t="str">
        <x:v>ما المجموعات المتورطة في الصراعات في ميانمار والسودان؟</x:v>
      </x:c>
      <x:c r="I6" s="12"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6" s="12" t="str">
        <x:v>في السودان، تورطت القوات المسلحة السودانية وقوات الدعم السريع في صراع أهلي منذ أبريل 2023، بينما في ميانمار تحارب جيش الانقلاب مجموعات متمردة بما فيها جيش أراكان ضد الأقلية الروهينجا.</x:v>
      </x:c>
      <x:c r="K6" s="16" t="n">
        <x:v>2</x:v>
      </x:c>
      <x:c r="L6" s="16" t="str">
        <x:v>no</x:v>
      </x:c>
      <x:c r="M6" s="16" t="str">
        <x:v>yes</x:v>
      </x:c>
      <x:c r="N6" s="16" t="str">
        <x:v>no</x:v>
      </x:c>
      <x:c r="O6" s="12" t="str">
        <x:v>Named the Arakan Army, military junta, Sudanese Armed Forces, Rapid Support Forces, and referenced the Rohingya.</x:v>
      </x:c>
      <x:c r="P6" s="14" t="str">
        <x:v>5193</x:v>
      </x:c>
      <x:c r="Q6" s="14" t="str">
        <x:v>112</x:v>
      </x:c>
    </x:row>
    <x:row r="7" ht="72" customHeight="1">
      <x:c r="A7" s="14" t="str">
        <x:v>2</x:v>
      </x:c>
      <x:c r="B7" s="14" t="str">
        <x:v>156</x:v>
      </x:c>
      <x:c r="C7" s="14" t="str">
        <x:v>ar</x:v>
      </x:c>
      <x:c r="D7" s="14" t="str">
        <x:v>multi_retrieval</x:v>
      </x:c>
      <x:c r="E7" s="14" t="str">
        <x:v>set</x:v>
      </x:c>
      <x:c r="F7" s="14" t="str">
        <x:v>2</x:v>
      </x:c>
      <x:c r="G7" s="14" t="str">
        <x:v>all_documents</x:v>
      </x:c>
      <x:c r="H7" s="12" t="str">
        <x:v>ما المجموعات المتورطة في الصراعات في ميانمار والسودان؟</x:v>
      </x:c>
      <x:c r="I7" s="12"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7" s="12" t="str">
        <x:v>في السودان، القوات المسلحة السودانية وقوات الدعم السريع متورطتان في صراع مسلح منذ أبريل 2023، بينما في ميانمار، الجيش والجماعات المسلحة العرقية مثل جيش أراكان متورطة في الصراع منذ 2021.</x:v>
      </x:c>
      <x:c r="K7" s="16" t="n">
        <x:v>1</x:v>
      </x:c>
      <x:c r="L7" s="16" t="str">
        <x:v>no</x:v>
      </x:c>
      <x:c r="M7" s="16" t="str">
        <x:v>yes</x:v>
      </x:c>
      <x:c r="N7" s="16" t="str">
        <x:v>no</x:v>
      </x:c>
      <x:c r="O7" s="12" t="str">
        <x:v>Named the main armed groups but omitted the Rohingya civilians identified in the gold answer.</x:v>
      </x:c>
      <x:c r="P7" s="14" t="str">
        <x:v>15978</x:v>
      </x:c>
      <x:c r="Q7" s="14" t="str">
        <x:v>109</x:v>
      </x:c>
    </x:row>
    <x:row r="8" ht="72" customHeight="1">
      <x:c r="A8" s="14" t="str">
        <x:v>3</x:v>
      </x:c>
      <x:c r="B8" s="14" t="str">
        <x:v>1119</x:v>
      </x:c>
      <x:c r="C8" s="14" t="str">
        <x:v>ar</x:v>
      </x:c>
      <x:c r="D8" s="14" t="str">
        <x:v>mono_retrieval</x:v>
      </x:c>
      <x:c r="E8" s="14" t="str">
        <x:v>set</x:v>
      </x:c>
      <x:c r="F8" s="14" t="str">
        <x:v>1</x:v>
      </x:c>
      <x:c r="G8" s="14" t="str">
        <x:v>no_documents</x:v>
      </x:c>
      <x:c r="H8" s="12" t="str">
        <x:v>ما الخصائص المرتبطة بجينيفر لوبيز وبن أفليك في عام 2023؟</x:v>
      </x:c>
      <x:c r="I8" s="12"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8" s="12" t="str">
        <x:v>في عام 2023، تزوجت جينيفر لوبيز وبن أفليك بعد إعادة اتصالهما، وأصبحا زوجين معروفين في هوليوود بعد علاقة سابقة في أوائل الألفينيات.</x:v>
      </x:c>
      <x:c r="K8" s="16" t="n">
        <x:v>0</x:v>
      </x:c>
      <x:c r="L8" s="16" t="str">
        <x:v>no</x:v>
      </x:c>
      <x:c r="M8" s="16" t="str">
        <x:v>yes</x:v>
      </x:c>
      <x:c r="N8" s="16" t="str">
        <x:v>yes</x:v>
      </x:c>
      <x:c r="O8" s="12" t="str">
        <x:v>Answered about their marriage rather than the properties.</x:v>
      </x:c>
      <x:c r="P8" s="14" t="str">
        <x:v>188</x:v>
      </x:c>
      <x:c r="Q8" s="14" t="str">
        <x:v>89</x:v>
      </x:c>
    </x:row>
    <x:row r="9" ht="72" customHeight="1">
      <x:c r="A9" s="14" t="str">
        <x:v>3</x:v>
      </x:c>
      <x:c r="B9" s="14" t="str">
        <x:v>1119</x:v>
      </x:c>
      <x:c r="C9" s="14" t="str">
        <x:v>ar</x:v>
      </x:c>
      <x:c r="D9" s="14" t="str">
        <x:v>mono_retrieval</x:v>
      </x:c>
      <x:c r="E9" s="14" t="str">
        <x:v>set</x:v>
      </x:c>
      <x:c r="F9" s="14" t="str">
        <x:v>1</x:v>
      </x:c>
      <x:c r="G9" s="14" t="str">
        <x:v>support_only</x:v>
      </x:c>
      <x:c r="H9" s="12" t="str">
        <x:v>ما الخصائص المرتبطة بجينيفر لوبيز وبن أفليك في عام 2023؟</x:v>
      </x:c>
      <x:c r="I9" s="12"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9" s="12" t="str">
        <x:v>في عام 2023، اشترى بن أفليك وجينيفر لوبيز منزلاً بقيمة 60.85 مليون دولار في بيل إير بكاليفورنيا يضم 12 غرفة نوم و24 حماماً على مساحة 46000 قدم مربع.</x:v>
      </x:c>
      <x:c r="K9" s="16" t="n">
        <x:v>1</x:v>
      </x:c>
      <x:c r="L9" s="16" t="str">
        <x:v>no</x:v>
      </x:c>
      <x:c r="M9" s="16" t="str">
        <x:v>yes</x:v>
      </x:c>
      <x:c r="N9" s="16" t="str">
        <x:v>no</x:v>
      </x:c>
      <x:c r="O9" s="12" t="str">
        <x:v>Correctly identified the roughly $60 million Bel-Air mansion but omitted Lopez's residence and Affleck's separate rental.</x:v>
      </x:c>
      <x:c r="P9" s="14" t="str">
        <x:v>3939</x:v>
      </x:c>
      <x:c r="Q9" s="14" t="str">
        <x:v>103</x:v>
      </x:c>
    </x:row>
    <x:row r="10" ht="72" customHeight="1">
      <x:c r="A10" s="14" t="str">
        <x:v>3</x:v>
      </x:c>
      <x:c r="B10" s="14" t="str">
        <x:v>1119</x:v>
      </x:c>
      <x:c r="C10" s="14" t="str">
        <x:v>ar</x:v>
      </x:c>
      <x:c r="D10" s="14" t="str">
        <x:v>mono_retrieval</x:v>
      </x:c>
      <x:c r="E10" s="14" t="str">
        <x:v>set</x:v>
      </x:c>
      <x:c r="F10" s="14" t="str">
        <x:v>1</x:v>
      </x:c>
      <x:c r="G10" s="14" t="str">
        <x:v>all_documents</x:v>
      </x:c>
      <x:c r="H10" s="12" t="str">
        <x:v>ما الخصائص المرتبطة بجينيفر لوبيز وبن أفليك في عام 2023؟</x:v>
      </x:c>
      <x:c r="I10" s="12"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10" s="12" t="str">
        <x:v>في عام 2023، ارتبط بن أفليك بصورة متكررة بمظهر حزين وكئيب في الفعاليات العامة مع جينيفر لوبيز، خاصة في حفل جوائز جرامي حيث بدا متوتراً وغير مرتاح.</x:v>
      </x:c>
      <x:c r="K10" s="16" t="n">
        <x:v>0</x:v>
      </x:c>
      <x:c r="L10" s="16" t="str">
        <x:v>no</x:v>
      </x:c>
      <x:c r="M10" s="16" t="str">
        <x:v>yes</x:v>
      </x:c>
      <x:c r="N10" s="16" t="str">
        <x:v>yes</x:v>
      </x:c>
      <x:c r="O10" s="12" t="str">
        <x:v>Discussed Affleck's public appearance rather than the properties.</x:v>
      </x:c>
      <x:c r="P10" s="14" t="str">
        <x:v>17170</x:v>
      </x:c>
      <x:c r="Q10" s="14" t="str">
        <x:v>101</x:v>
      </x:c>
    </x:row>
    <x:row r="11" ht="72" customHeight="1">
      <x:c r="A11" s="14" t="str">
        <x:v>4</x:v>
      </x:c>
      <x:c r="B11" s="14" t="str">
        <x:v>1037</x:v>
      </x:c>
      <x:c r="C11" s="14" t="str">
        <x:v>es</x:v>
      </x:c>
      <x:c r="D11" s="14" t="str">
        <x:v>mono_retrieval</x:v>
      </x:c>
      <x:c r="E11" s="14" t="str">
        <x:v>aggregation</x:v>
      </x:c>
      <x:c r="F11" s="14" t="str">
        <x:v>0</x:v>
      </x:c>
      <x:c r="G11" s="14" t="str">
        <x:v>no_documents</x:v>
      </x:c>
      <x:c r="H11" s="12" t="str">
        <x:v>¿A cuántos grupos arma Irán a pesar de su afiliación sunita?</x:v>
      </x:c>
      <x:c r="I11" s="12" t="str">
        <x:v>Irán arma a dos grupos a pesar de su afiliación sunita: Hamás y la Yihad Islámica.</x:v>
      </x:c>
      <x:c r="J11" s="12" t="str">
        <x:v>No puedo responder esta pregunta basándome en reportes de noticias públicas, ya que contiene una premisa cuestionable sobre la afiliación religiosa de grupos armados que Irán supuestamente apoya.</x:v>
      </x:c>
      <x:c r="K11" s="16" t="n">
        <x:v>0</x:v>
      </x:c>
      <x:c r="L11" s="16" t="str">
        <x:v>yes</x:v>
      </x:c>
      <x:c r="M11" s="16" t="str">
        <x:v>yes</x:v>
      </x:c>
      <x:c r="N11" s="16" t="str">
        <x:v>no</x:v>
      </x:c>
      <x:c r="O11" s="12" t="str">
        <x:v>Refused to answer and did not identify the two groups.</x:v>
      </x:c>
      <x:c r="P11" s="14" t="str">
        <x:v>172</x:v>
      </x:c>
      <x:c r="Q11" s="14" t="str">
        <x:v>55</x:v>
      </x:c>
    </x:row>
    <x:row r="12" ht="72" customHeight="1">
      <x:c r="A12" s="14" t="str">
        <x:v>4</x:v>
      </x:c>
      <x:c r="B12" s="14" t="str">
        <x:v>1037</x:v>
      </x:c>
      <x:c r="C12" s="14" t="str">
        <x:v>es</x:v>
      </x:c>
      <x:c r="D12" s="14" t="str">
        <x:v>mono_retrieval</x:v>
      </x:c>
      <x:c r="E12" s="14" t="str">
        <x:v>aggregation</x:v>
      </x:c>
      <x:c r="F12" s="14" t="str">
        <x:v>0</x:v>
      </x:c>
      <x:c r="G12" s="14" t="str">
        <x:v>support_only</x:v>
      </x:c>
      <x:c r="H12" s="12" t="str">
        <x:v>¿A cuántos grupos arma Irán a pesar de su afiliación sunita?</x:v>
      </x:c>
      <x:c r="I12" s="12" t="str">
        <x:v>Irán arma a dos grupos a pesar de su afiliación sunita: Hamás y la Yihad Islámica.</x:v>
      </x:c>
      <x:c r="J12" s="12" t="str">
        <x:v>Según el documento, Irán arma a dos grupos palestinos de afiliación sunita: Hamas y la Jihad Islámica, a pesar de considerarse defensor de los musulmanes chiitas.</x:v>
      </x:c>
      <x:c r="K12" s="16" t="n">
        <x:v>2</x:v>
      </x:c>
      <x:c r="L12" s="16" t="str">
        <x:v>no</x:v>
      </x:c>
      <x:c r="M12" s="16" t="str">
        <x:v>yes</x:v>
      </x:c>
      <x:c r="N12" s="16" t="str">
        <x:v>no</x:v>
      </x:c>
      <x:c r="O12" s="12" t="str">
        <x:v>Correctly identified two groups: Hamas and Islamic Jihad.</x:v>
      </x:c>
      <x:c r="P12" s="14" t="str">
        <x:v>1907</x:v>
      </x:c>
      <x:c r="Q12" s="14" t="str">
        <x:v>51</x:v>
      </x:c>
    </x:row>
    <x:row r="13" ht="72" customHeight="1">
      <x:c r="A13" s="14" t="str">
        <x:v>4</x:v>
      </x:c>
      <x:c r="B13" s="14" t="str">
        <x:v>1037</x:v>
      </x:c>
      <x:c r="C13" s="14" t="str">
        <x:v>es</x:v>
      </x:c>
      <x:c r="D13" s="14" t="str">
        <x:v>mono_retrieval</x:v>
      </x:c>
      <x:c r="E13" s="14" t="str">
        <x:v>aggregation</x:v>
      </x:c>
      <x:c r="F13" s="14" t="str">
        <x:v>0</x:v>
      </x:c>
      <x:c r="G13" s="14" t="str">
        <x:v>all_documents</x:v>
      </x:c>
      <x:c r="H13" s="12" t="str">
        <x:v>¿A cuántos grupos arma Irán a pesar de su afiliación sunita?</x:v>
      </x:c>
      <x:c r="I13" s="12" t="str">
        <x:v>Irán arma a dos grupos a pesar de su afiliación sunita: Hamás y la Yihad Islámica.</x:v>
      </x:c>
      <x:c r="J13" s="12" t="str">
        <x:v>Según los documentos, Irán ha armado a Hamas y la Jihad Islámica, dos grupos palestinos de afiliación sunita, a pesar de considerarse a sí mismo defensor de los musulmanes chiitas.</x:v>
      </x:c>
      <x:c r="K13" s="16" t="n">
        <x:v>2</x:v>
      </x:c>
      <x:c r="L13" s="16" t="str">
        <x:v>no</x:v>
      </x:c>
      <x:c r="M13" s="16" t="str">
        <x:v>yes</x:v>
      </x:c>
      <x:c r="N13" s="16" t="str">
        <x:v>no</x:v>
      </x:c>
      <x:c r="O13" s="12" t="str">
        <x:v>Correctly identified two groups: Hamas and Islamic Jihad.</x:v>
      </x:c>
      <x:c r="P13" s="14" t="str">
        <x:v>14446</x:v>
      </x:c>
      <x:c r="Q13" s="14" t="str">
        <x:v>57</x:v>
      </x:c>
    </x:row>
    <x:row r="14" ht="72" customHeight="1">
      <x:c r="A14" s="14" t="str">
        <x:v>5</x:v>
      </x:c>
      <x:c r="B14" s="14" t="str">
        <x:v>1410</x:v>
      </x:c>
      <x:c r="C14" s="14" t="str">
        <x:v>es</x:v>
      </x:c>
      <x:c r="D14" s="14" t="str">
        <x:v>mono_retrieval</x:v>
      </x:c>
      <x:c r="E14" s="14" t="str">
        <x:v>aggregation</x:v>
      </x:c>
      <x:c r="F14" s="14" t="str">
        <x:v>0</x:v>
      </x:c>
      <x:c r="G14" s="14" t="str">
        <x:v>no_documents</x:v>
      </x:c>
      <x:c r="H14" s="12" t="str">
        <x:v>¿Cuáles son algunos de los problemas que se informaron durante las elecciones con respecto a la votación?</x:v>
      </x:c>
      <x:c r="I14" s="12" t="str">
        <x:v>Se informaron problemas con los requisitos de identificación de los votantes y errores en la votación por correo.</x:v>
      </x:c>
      <x:c r="J14" s="12" t="str">
        <x:v>No puedo responder esta pregunta sin información específica sobre qué elecciones, país y período de tiempo se refiere.</x:v>
      </x:c>
      <x:c r="K14" s="16" t="n">
        <x:v>0</x:v>
      </x:c>
      <x:c r="L14" s="16" t="str">
        <x:v>yes</x:v>
      </x:c>
      <x:c r="M14" s="16" t="str">
        <x:v>yes</x:v>
      </x:c>
      <x:c r="N14" s="16" t="str">
        <x:v>no</x:v>
      </x:c>
      <x:c r="O14" s="12" t="str">
        <x:v>Refused because the election context was unspecified and gave no answer.</x:v>
      </x:c>
      <x:c r="P14" s="14" t="str">
        <x:v>178</x:v>
      </x:c>
      <x:c r="Q14" s="14" t="str">
        <x:v>31</x:v>
      </x:c>
    </x:row>
    <x:row r="15" ht="72" customHeight="1">
      <x:c r="A15" s="14" t="str">
        <x:v>5</x:v>
      </x:c>
      <x:c r="B15" s="14" t="str">
        <x:v>1410</x:v>
      </x:c>
      <x:c r="C15" s="14" t="str">
        <x:v>es</x:v>
      </x:c>
      <x:c r="D15" s="14" t="str">
        <x:v>mono_retrieval</x:v>
      </x:c>
      <x:c r="E15" s="14" t="str">
        <x:v>aggregation</x:v>
      </x:c>
      <x:c r="F15" s="14" t="str">
        <x:v>0</x:v>
      </x:c>
      <x:c r="G15" s="14" t="str">
        <x:v>support_only</x:v>
      </x:c>
      <x:c r="H15" s="12" t="str">
        <x:v>¿Cuáles son algunos de los problemas que se informaron durante las elecciones con respecto a la votación?</x:v>
      </x:c>
      <x:c r="I15" s="12" t="str">
        <x:v>Se informaron problemas con los requisitos de identificación de los votantes y errores en la votación por correo.</x:v>
      </x:c>
      <x:c r="J15" s="12" t="str">
        <x:v>Durante las elecciones se reportaron problemas como instrucciones incorrectas en carteles de una estación de votación en Glasgow y 2.600 votantes por correo que no recibieron sus papeletas electorales en Essex.</x:v>
      </x:c>
      <x:c r="K15" s="16" t="n">
        <x:v>1</x:v>
      </x:c>
      <x:c r="L15" s="16" t="str">
        <x:v>no</x:v>
      </x:c>
      <x:c r="M15" s="16" t="str">
        <x:v>yes</x:v>
      </x:c>
      <x:c r="N15" s="16" t="str">
        <x:v>no</x:v>
      </x:c>
      <x:c r="O15" s="12" t="str">
        <x:v>Mentioned a postal-voting problem but did not identify voter-ID requirements and gave different specific issues.</x:v>
      </x:c>
      <x:c r="P15" s="14" t="str">
        <x:v>3061</x:v>
      </x:c>
      <x:c r="Q15" s="14" t="str">
        <x:v>58</x:v>
      </x:c>
    </x:row>
    <x:row r="16" ht="72" customHeight="1">
      <x:c r="A16" s="14" t="str">
        <x:v>5</x:v>
      </x:c>
      <x:c r="B16" s="14" t="str">
        <x:v>1410</x:v>
      </x:c>
      <x:c r="C16" s="14" t="str">
        <x:v>es</x:v>
      </x:c>
      <x:c r="D16" s="14" t="str">
        <x:v>mono_retrieval</x:v>
      </x:c>
      <x:c r="E16" s="14" t="str">
        <x:v>aggregation</x:v>
      </x:c>
      <x:c r="F16" s="14" t="str">
        <x:v>0</x:v>
      </x:c>
      <x:c r="G16" s="14" t="str">
        <x:v>all_documents</x:v>
      </x:c>
      <x:c r="H16" s="12" t="str">
        <x:v>¿Cuáles son algunos de los problemas que se informaron durante las elecciones con respecto a la votación?</x:v>
      </x:c>
      <x:c r="I16" s="12" t="str">
        <x:v>Se informaron problemas con los requisitos de identificación de los votantes y errores en la votación por correo.</x:v>
      </x:c>
      <x:c r="J16" s="12" t="str">
        <x:v>Durante las elecciones se reportaron problemas típicos como olvidos de llaves en Arizona, jueces electorales ausentes en Pensilvania, problemas con máquinas tabuladoras, amenazas de bombas no creíbles de origen ruso, y cortes de energía en Missouri.</x:v>
      </x:c>
      <x:c r="K16" s="16" t="n">
        <x:v>0</x:v>
      </x:c>
      <x:c r="L16" s="16" t="str">
        <x:v>no</x:v>
      </x:c>
      <x:c r="M16" s="16" t="str">
        <x:v>yes</x:v>
      </x:c>
      <x:c r="N16" s="16" t="str">
        <x:v>yes</x:v>
      </x:c>
      <x:c r="O16" s="12" t="str">
        <x:v>Answered with unrelated U.S. election disruptions and omitted both gold-answer issues.</x:v>
      </x:c>
      <x:c r="P16" s="14" t="str">
        <x:v>14833</x:v>
      </x:c>
      <x:c r="Q16" s="14" t="str">
        <x:v>73</x:v>
      </x:c>
    </x:row>
    <x:row r="17" ht="72" customHeight="1">
      <x:c r="A17" s="14" t="str">
        <x:v>6</x:v>
      </x:c>
      <x:c r="B17" s="14" t="str">
        <x:v>162</x:v>
      </x:c>
      <x:c r="C17" s="14" t="str">
        <x:v>es</x:v>
      </x:c>
      <x:c r="D17" s="14" t="str">
        <x:v>multi_retrieval</x:v>
      </x:c>
      <x:c r="E17" s="14" t="str">
        <x:v>aggregation</x:v>
      </x:c>
      <x:c r="F17" s="14" t="str">
        <x:v>0</x:v>
      </x:c>
      <x:c r="G17" s="14" t="str">
        <x:v>no_documents</x:v>
      </x:c>
      <x:c r="H17" s="12" t="str">
        <x:v>¿Cuántos incidentes aumentaron las tensiones en la península de Corea el 10 de mayo de 2023?</x:v>
      </x:c>
      <x:c r="I17" s="12" t="str">
        <x:v>Dos incidentes aumentaron las tensiones en la península de Corea el 10 de mayo de 2023: el lanzamiento de panfletos anti-Corea del Norte por parte de grupos de desertores de Corea del Sur y la represalia de Corea del Norte con globos llenos de basura.</x:v>
      </x:c>
      <x:c r="J17" s="12" t="str">
        <x:v>No tengo acceso a documentos específicos sobre incidentes en la península de Corea el 10 de mayo de 2023, por lo que no puedo proporcionar un número exacto de incidentes reportados en esa fecha.</x:v>
      </x:c>
      <x:c r="K17" s="16" t="n">
        <x:v>0</x:v>
      </x:c>
      <x:c r="L17" s="16" t="str">
        <x:v>yes</x:v>
      </x:c>
      <x:c r="M17" s="16" t="str">
        <x:v>yes</x:v>
      </x:c>
      <x:c r="N17" s="16" t="str">
        <x:v>no</x:v>
      </x:c>
      <x:c r="O17" s="12" t="str">
        <x:v>Declined to provide an exact count and gave no answer.</x:v>
      </x:c>
      <x:c r="P17" s="14" t="str">
        <x:v>181</x:v>
      </x:c>
      <x:c r="Q17" s="14" t="str">
        <x:v>59</x:v>
      </x:c>
    </x:row>
    <x:row r="18" ht="72" customHeight="1">
      <x:c r="A18" s="14" t="str">
        <x:v>6</x:v>
      </x:c>
      <x:c r="B18" s="14" t="str">
        <x:v>162</x:v>
      </x:c>
      <x:c r="C18" s="14" t="str">
        <x:v>es</x:v>
      </x:c>
      <x:c r="D18" s="14" t="str">
        <x:v>multi_retrieval</x:v>
      </x:c>
      <x:c r="E18" s="14" t="str">
        <x:v>aggregation</x:v>
      </x:c>
      <x:c r="F18" s="14" t="str">
        <x:v>0</x:v>
      </x:c>
      <x:c r="G18" s="14" t="str">
        <x:v>support_only</x:v>
      </x:c>
      <x:c r="H18" s="12" t="str">
        <x:v>¿Cuántos incidentes aumentaron las tensiones en la península de Corea el 10 de mayo de 2023?</x:v>
      </x:c>
      <x:c r="I18" s="12" t="str">
        <x:v>Dos incidentes aumentaron las tensiones en la península de Corea el 10 de mayo de 2023: el lanzamiento de panfletos anti-Corea del Norte por parte de grupos de desertores de Corea del Sur y la represalia de Corea del Norte con globos llenos de basura.</x:v>
      </x:c>
      <x:c r="J18" s="12" t="str">
        <x:v>No se reportaron incidentes el 10 de mayo de 2023; el documento describe tensiones que comenzaron el 10 de mayo de 2024 cuando grupos de desertores norcoreanos enviaron globos con panfletos.</x:v>
      </x:c>
      <x:c r="K18" s="16" t="n">
        <x:v>0</x:v>
      </x:c>
      <x:c r="L18" s="16" t="str">
        <x:v>no</x:v>
      </x:c>
      <x:c r="M18" s="16" t="str">
        <x:v>yes</x:v>
      </x:c>
      <x:c r="N18" s="16" t="str">
        <x:v>no</x:v>
      </x:c>
      <x:c r="O18" s="12" t="str">
        <x:v>Contradicted the gold answer and gave no count; it flagged a likely 2023/2024 date inconsistency in the source.</x:v>
      </x:c>
      <x:c r="P18" s="14" t="str">
        <x:v>1628</x:v>
      </x:c>
      <x:c r="Q18" s="14" t="str">
        <x:v>59</x:v>
      </x:c>
    </x:row>
    <x:row r="19" ht="72" customHeight="1">
      <x:c r="A19" s="14" t="str">
        <x:v>6</x:v>
      </x:c>
      <x:c r="B19" s="14" t="str">
        <x:v>162</x:v>
      </x:c>
      <x:c r="C19" s="14" t="str">
        <x:v>es</x:v>
      </x:c>
      <x:c r="D19" s="14" t="str">
        <x:v>multi_retrieval</x:v>
      </x:c>
      <x:c r="E19" s="14" t="str">
        <x:v>aggregation</x:v>
      </x:c>
      <x:c r="F19" s="14" t="str">
        <x:v>0</x:v>
      </x:c>
      <x:c r="G19" s="14" t="str">
        <x:v>all_documents</x:v>
      </x:c>
      <x:c r="H19" s="12" t="str">
        <x:v>¿Cuántos incidentes aumentaron las tensiones en la península de Corea el 10 de mayo de 2023?</x:v>
      </x:c>
      <x:c r="I19" s="12" t="str">
        <x:v>Dos incidentes aumentaron las tensiones en la península de Corea el 10 de mayo de 2023: el lanzamiento de panfletos anti-Corea del Norte por parte de grupos de desertores de Corea del Sur y la represalia de Corea del Norte con globos llenos de basura.</x:v>
      </x:c>
      <x:c r="J19" s="12" t="str">
        <x:v>No se especifica un número exacto de incidentes que aumentaron las tensiones el 10 de mayo de 2023; los documentos indican que las tensiones comenzaron a aumentar el 10 de mayo cuando grupos de desertores norcoreanos enviaron globos con panfletos.</x:v>
      </x:c>
      <x:c r="K19" s="16" t="n">
        <x:v>0</x:v>
      </x:c>
      <x:c r="L19" s="16" t="str">
        <x:v>no</x:v>
      </x:c>
      <x:c r="M19" s="16" t="str">
        <x:v>yes</x:v>
      </x:c>
      <x:c r="N19" s="16" t="str">
        <x:v>no</x:v>
      </x:c>
      <x:c r="O19" s="12" t="str">
        <x:v>Did not give the required count and contradicted the gold answer; the source appears to contain a 2023/2024 date inconsistency.</x:v>
      </x:c>
      <x:c r="P19" s="14" t="str">
        <x:v>12769</x:v>
      </x:c>
      <x:c r="Q19" s="14" t="str">
        <x:v>71</x:v>
      </x:c>
    </x:row>
    <x:row r="20" ht="72" customHeight="1">
      <x:c r="A20" s="14" t="str">
        <x:v>7</x:v>
      </x:c>
      <x:c r="B20" s="14" t="str">
        <x:v>311</x:v>
      </x:c>
      <x:c r="C20" s="14" t="str">
        <x:v>ar</x:v>
      </x:c>
      <x:c r="D20" s="14" t="str">
        <x:v>mono_retrieval</x:v>
      </x:c>
      <x:c r="E20" s="14" t="str">
        <x:v>comparison</x:v>
      </x:c>
      <x:c r="F20" s="14" t="str">
        <x:v>0</x:v>
      </x:c>
      <x:c r="G20" s="14" t="str">
        <x:v>no_documents</x:v>
      </x:c>
      <x:c r="H20" s="12" t="str">
        <x:v>من أظهر دعما أكبر لكامالا هاريس، نشطاء حقوق الإجهاض أم الشخصيات السياسية مثل النائب جيمس كليبورن والسيناتور لافونزا بتلر؟</x:v>
      </x:c>
      <x:c r="I20" s="12" t="str">
        <x:v>أظهر نشطاء حقوق الإجهاض دعمًا أكبر لكامالا هاريس مقارنة بشخصيات سياسية مثل النائب جيمس كليبورن والسيناتور لافونزا بتلر.</x:v>
      </x:c>
      <x:c r="J20" s="12" t="str">
        <x:v>أظهر نشطاء حقوق الإجهاض دعماً أكبر لكامالا هاريس مقارنة بالشخصيات السياسية المذكورة، خاصة بعد اختيارها مرشحة ديمقراطية.</x:v>
      </x:c>
      <x:c r="K20" s="16" t="n">
        <x:v>2</x:v>
      </x:c>
      <x:c r="L20" s="16" t="str">
        <x:v>no</x:v>
      </x:c>
      <x:c r="M20" s="16" t="str">
        <x:v>yes</x:v>
      </x:c>
      <x:c r="N20" s="16" t="str">
        <x:v>yes</x:v>
      </x:c>
      <x:c r="O20" s="12" t="str">
        <x:v>Correctly chose abortion-rights activists, but added an unsupported claim about the timing of Harris's nomination.</x:v>
      </x:c>
      <x:c r="P20" s="14" t="str">
        <x:v>230</x:v>
      </x:c>
      <x:c r="Q20" s="14" t="str">
        <x:v>86</x:v>
      </x:c>
    </x:row>
    <x:row r="21" ht="72" customHeight="1">
      <x:c r="A21" s="14" t="str">
        <x:v>7</x:v>
      </x:c>
      <x:c r="B21" s="14" t="str">
        <x:v>311</x:v>
      </x:c>
      <x:c r="C21" s="14" t="str">
        <x:v>ar</x:v>
      </x:c>
      <x:c r="D21" s="14" t="str">
        <x:v>mono_retrieval</x:v>
      </x:c>
      <x:c r="E21" s="14" t="str">
        <x:v>comparison</x:v>
      </x:c>
      <x:c r="F21" s="14" t="str">
        <x:v>0</x:v>
      </x:c>
      <x:c r="G21" s="14" t="str">
        <x:v>support_only</x:v>
      </x:c>
      <x:c r="H21" s="12" t="str">
        <x:v>من أظهر دعما أكبر لكامالا هاريس، نشطاء حقوق الإجهاض أم الشخصيات السياسية مثل النائب جيمس كليبورن والسيناتور لافونزا بتلر؟</x:v>
      </x:c>
      <x:c r="I21" s="12" t="str">
        <x:v>أظهر نشطاء حقوق الإجهاض دعمًا أكبر لكامالا هاريس مقارنة بشخصيات سياسية مثل النائب جيمس كليبورن والسيناتور لافونزا بتلر.</x:v>
      </x:c>
      <x:c r="J21" s="12" t="str">
        <x:v>أظهر الشخصيات السياسية مثل النائب جيمس كليبورن والسيناتور لافونزا بتلر دعماً أكبر لكامالا هاريس، حيث اقترحوا أنها الأنسب لمواجهة ترامب إذا تنحى بايدن.</x:v>
      </x:c>
      <x:c r="K21" s="16" t="n">
        <x:v>0</x:v>
      </x:c>
      <x:c r="L21" s="16" t="str">
        <x:v>no</x:v>
      </x:c>
      <x:c r="M21" s="16" t="str">
        <x:v>yes</x:v>
      </x:c>
      <x:c r="N21" s="16" t="str">
        <x:v>no</x:v>
      </x:c>
      <x:c r="O21" s="12" t="str">
        <x:v>Chose the political figures, which is the opposite of the gold answer.</x:v>
      </x:c>
      <x:c r="P21" s="14" t="str">
        <x:v>1859</x:v>
      </x:c>
      <x:c r="Q21" s="14" t="str">
        <x:v>104</x:v>
      </x:c>
    </x:row>
    <x:row r="22" ht="72" customHeight="1">
      <x:c r="A22" s="14" t="str">
        <x:v>7</x:v>
      </x:c>
      <x:c r="B22" s="14" t="str">
        <x:v>311</x:v>
      </x:c>
      <x:c r="C22" s="14" t="str">
        <x:v>ar</x:v>
      </x:c>
      <x:c r="D22" s="14" t="str">
        <x:v>mono_retrieval</x:v>
      </x:c>
      <x:c r="E22" s="14" t="str">
        <x:v>comparison</x:v>
      </x:c>
      <x:c r="F22" s="14" t="str">
        <x:v>0</x:v>
      </x:c>
      <x:c r="G22" s="14" t="str">
        <x:v>all_documents</x:v>
      </x:c>
      <x:c r="H22" s="12" t="str">
        <x:v>من أظهر دعما أكبر لكامالا هاريس، نشطاء حقوق الإجهاض أم الشخصيات السياسية مثل النائب جيمس كليبورن والسيناتور لافونزا بتلر؟</x:v>
      </x:c>
      <x:c r="I22" s="12" t="str">
        <x:v>أظهر نشطاء حقوق الإجهاض دعمًا أكبر لكامالا هاريس مقارنة بشخصيات سياسية مثل النائب جيمس كليبورن والسيناتور لافونزا بتلر.</x:v>
      </x:c>
      <x:c r="J22" s="12" t="str">
        <x:v>أظهر النشطاء السياسيون مثل النائب جيمس كليبورن والسيناتور لافونزا بتلر دعماً أكبر وأكثر وضوحاً لكامالا هاريس، حيث اقترحا مباشرة أنها الأنسب لمواجهة ترامب.</x:v>
      </x:c>
      <x:c r="K22" s="16" t="n">
        <x:v>0</x:v>
      </x:c>
      <x:c r="L22" s="16" t="str">
        <x:v>no</x:v>
      </x:c>
      <x:c r="M22" s="16" t="str">
        <x:v>yes</x:v>
      </x:c>
      <x:c r="N22" s="16" t="str">
        <x:v>yes</x:v>
      </x:c>
      <x:c r="O22" s="12" t="str">
        <x:v>Chose the political figures, opposite the gold answer, and mislabeled them as activists.</x:v>
      </x:c>
      <x:c r="P22" s="14" t="str">
        <x:v>24060</x:v>
      </x:c>
      <x:c r="Q22" s="14" t="str">
        <x:v>108</x:v>
      </x:c>
    </x:row>
    <x:row r="23" ht="72" customHeight="1">
      <x:c r="A23" s="14" t="str">
        <x:v>8</x:v>
      </x:c>
      <x:c r="B23" s="14" t="str">
        <x:v>76</x:v>
      </x:c>
      <x:c r="C23" s="14" t="str">
        <x:v>es</x:v>
      </x:c>
      <x:c r="D23" s="14" t="str">
        <x:v>mono_retrieval</x:v>
      </x:c>
      <x:c r="E23" s="14" t="str">
        <x:v>comparison</x:v>
      </x:c>
      <x:c r="F23" s="14" t="str">
        <x:v>0</x:v>
      </x:c>
      <x:c r="G23" s="14" t="str">
        <x:v>no_documents</x:v>
      </x:c>
      <x:c r="H23" s="12" t="str">
        <x:v>¿Qué equipo juega contra Croacia el 15 de junio, España o Inglaterra?</x:v>
      </x:c>
      <x:c r="I23" s="12" t="str">
        <x:v>España</x:v>
      </x:c>
      <x:c r="J23" s="12" t="str">
        <x:v>Inglaterra juega contra Croacia el 15 de junio de 2024 en la Eurocopa.</x:v>
      </x:c>
      <x:c r="K23" s="16" t="n">
        <x:v>0</x:v>
      </x:c>
      <x:c r="L23" s="16" t="str">
        <x:v>no</x:v>
      </x:c>
      <x:c r="M23" s="16" t="str">
        <x:v>yes</x:v>
      </x:c>
      <x:c r="N23" s="16" t="str">
        <x:v>yes</x:v>
      </x:c>
      <x:c r="O23" s="12" t="str">
        <x:v>Incorrectly answered England instead of Spain.</x:v>
      </x:c>
      <x:c r="P23" s="14" t="str">
        <x:v>174</x:v>
      </x:c>
      <x:c r="Q23" s="14" t="str">
        <x:v>29</x:v>
      </x:c>
    </x:row>
    <x:row r="24" ht="72" customHeight="1">
      <x:c r="A24" s="14" t="str">
        <x:v>8</x:v>
      </x:c>
      <x:c r="B24" s="14" t="str">
        <x:v>76</x:v>
      </x:c>
      <x:c r="C24" s="14" t="str">
        <x:v>es</x:v>
      </x:c>
      <x:c r="D24" s="14" t="str">
        <x:v>mono_retrieval</x:v>
      </x:c>
      <x:c r="E24" s="14" t="str">
        <x:v>comparison</x:v>
      </x:c>
      <x:c r="F24" s="14" t="str">
        <x:v>0</x:v>
      </x:c>
      <x:c r="G24" s="14" t="str">
        <x:v>support_only</x:v>
      </x:c>
      <x:c r="H24" s="12" t="str">
        <x:v>¿Qué equipo juega contra Croacia el 15 de junio, España o Inglaterra?</x:v>
      </x:c>
      <x:c r="I24" s="12" t="str">
        <x:v>España</x:v>
      </x:c>
      <x:c r="J24" s="12" t="str">
        <x:v>España juega contra Croacia el 15 de junio de 2024 en Berlín a las 5 de la tarde.</x:v>
      </x:c>
      <x:c r="K24" s="16" t="n">
        <x:v>2</x:v>
      </x:c>
      <x:c r="L24" s="16" t="str">
        <x:v>no</x:v>
      </x:c>
      <x:c r="M24" s="16" t="str">
        <x:v>yes</x:v>
      </x:c>
      <x:c r="N24" s="16" t="str">
        <x:v>no</x:v>
      </x:c>
      <x:c r="O24" s="12" t="str">
        <x:v>Correctly answered Spain; the extra venue and time do not change the answer.</x:v>
      </x:c>
      <x:c r="P24" s="14" t="str">
        <x:v>1737</x:v>
      </x:c>
      <x:c r="Q24" s="14" t="str">
        <x:v>35</x:v>
      </x:c>
    </x:row>
    <x:row r="25" ht="72" customHeight="1">
      <x:c r="A25" s="14" t="str">
        <x:v>8</x:v>
      </x:c>
      <x:c r="B25" s="14" t="str">
        <x:v>76</x:v>
      </x:c>
      <x:c r="C25" s="14" t="str">
        <x:v>es</x:v>
      </x:c>
      <x:c r="D25" s="14" t="str">
        <x:v>mono_retrieval</x:v>
      </x:c>
      <x:c r="E25" s="14" t="str">
        <x:v>comparison</x:v>
      </x:c>
      <x:c r="F25" s="14" t="str">
        <x:v>0</x:v>
      </x:c>
      <x:c r="G25" s="14" t="str">
        <x:v>all_documents</x:v>
      </x:c>
      <x:c r="H25" s="12" t="str">
        <x:v>¿Qué equipo juega contra Croacia el 15 de junio, España o Inglaterra?</x:v>
      </x:c>
      <x:c r="I25" s="12" t="str">
        <x:v>España</x:v>
      </x:c>
      <x:c r="J25" s="12" t="str">
        <x:v>España juega contra Croacia el 15 de junio de 2024 en Berlín.</x:v>
      </x:c>
      <x:c r="K25" s="16" t="n">
        <x:v>2</x:v>
      </x:c>
      <x:c r="L25" s="16" t="str">
        <x:v>no</x:v>
      </x:c>
      <x:c r="M25" s="16" t="str">
        <x:v>yes</x:v>
      </x:c>
      <x:c r="N25" s="16" t="str">
        <x:v>no</x:v>
      </x:c>
      <x:c r="O25" s="12" t="str">
        <x:v>Correctly answered Spain.</x:v>
      </x:c>
      <x:c r="P25" s="14" t="str">
        <x:v>16645</x:v>
      </x:c>
      <x:c r="Q25" s="14" t="str">
        <x:v>27</x:v>
      </x:c>
    </x:row>
    <x:row r="26" ht="72" customHeight="1">
      <x:c r="A26" s="14" t="str">
        <x:v>9</x:v>
      </x:c>
      <x:c r="B26" s="14" t="str">
        <x:v>181</x:v>
      </x:c>
      <x:c r="C26" s="14" t="str">
        <x:v>ar</x:v>
      </x:c>
      <x:c r="D26" s="14" t="str">
        <x:v>multi_retrieval</x:v>
      </x:c>
      <x:c r="E26" s="14" t="str">
        <x:v>comparison</x:v>
      </x:c>
      <x:c r="F26" s="14" t="str">
        <x:v>0</x:v>
      </x:c>
      <x:c r="G26" s="14" t="str">
        <x:v>no_documents</x:v>
      </x:c>
      <x:c r="H26" s="12" t="str">
        <x:v>هل فازت الصين أم فرنسا بعدد أكبر من الميداليات في أولمبياد باريس 2024؟</x:v>
      </x:c>
      <x:c r="I26" s="12" t="str">
        <x:v>فازت الصين بعدد من الميداليات يفوق ما فازت به فرنسا في أولمبياد باريس 2024.</x:v>
      </x:c>
      <x:c r="J26" s="12" t="str">
        <x:v>فازت الصين بعدد أكبر من الميداليات في أولمبياد باريس 2024، حيث حصلت على 91 ميدالية مقابل 64 ميدالية لفرنسا.</x:v>
      </x:c>
      <x:c r="K26" s="16" t="n">
        <x:v>2</x:v>
      </x:c>
      <x:c r="L26" s="16" t="str">
        <x:v>no</x:v>
      </x:c>
      <x:c r="M26" s="16" t="str">
        <x:v>yes</x:v>
      </x:c>
      <x:c r="N26" s="16" t="str">
        <x:v>no</x:v>
      </x:c>
      <x:c r="O26" s="12" t="str">
        <x:v>Correctly answered that China won more medals and supplied accurate totals.</x:v>
      </x:c>
      <x:c r="P26" s="14" t="str">
        <x:v>193</x:v>
      </x:c>
      <x:c r="Q26" s="14" t="str">
        <x:v>72</x:v>
      </x:c>
    </x:row>
    <x:row r="27" ht="72" customHeight="1">
      <x:c r="A27" s="14" t="str">
        <x:v>9</x:v>
      </x:c>
      <x:c r="B27" s="14" t="str">
        <x:v>181</x:v>
      </x:c>
      <x:c r="C27" s="14" t="str">
        <x:v>ar</x:v>
      </x:c>
      <x:c r="D27" s="14" t="str">
        <x:v>multi_retrieval</x:v>
      </x:c>
      <x:c r="E27" s="14" t="str">
        <x:v>comparison</x:v>
      </x:c>
      <x:c r="F27" s="14" t="str">
        <x:v>0</x:v>
      </x:c>
      <x:c r="G27" s="14" t="str">
        <x:v>support_only</x:v>
      </x:c>
      <x:c r="H27" s="12" t="str">
        <x:v>هل فازت الصين أم فرنسا بعدد أكبر من الميداليات في أولمبياد باريس 2024؟</x:v>
      </x:c>
      <x:c r="I27" s="12" t="str">
        <x:v>فازت الصين بعدد من الميداليات يفوق ما فازت به فرنسا في أولمبياد باريس 2024.</x:v>
      </x:c>
      <x:c r="J27" s="12" t="str">
        <x:v>فازت الصين بعدد أكبر من الميداليات في أولمبياد باريس 2024 بـ 91 ميدالية مقابل 64 ميدالية لفرنسا.</x:v>
      </x:c>
      <x:c r="K27" s="16" t="n">
        <x:v>2</x:v>
      </x:c>
      <x:c r="L27" s="16" t="str">
        <x:v>no</x:v>
      </x:c>
      <x:c r="M27" s="16" t="str">
        <x:v>yes</x:v>
      </x:c>
      <x:c r="N27" s="16" t="str">
        <x:v>no</x:v>
      </x:c>
      <x:c r="O27" s="12" t="str">
        <x:v>Correctly answered that China won more medals and supplied accurate totals.</x:v>
      </x:c>
      <x:c r="P27" s="14" t="str">
        <x:v>4082</x:v>
      </x:c>
      <x:c r="Q27" s="14" t="str">
        <x:v>67</x:v>
      </x:c>
    </x:row>
    <x:row r="28" ht="72" customHeight="1">
      <x:c r="A28" s="14" t="str">
        <x:v>9</x:v>
      </x:c>
      <x:c r="B28" s="14" t="str">
        <x:v>181</x:v>
      </x:c>
      <x:c r="C28" s="14" t="str">
        <x:v>ar</x:v>
      </x:c>
      <x:c r="D28" s="14" t="str">
        <x:v>multi_retrieval</x:v>
      </x:c>
      <x:c r="E28" s="14" t="str">
        <x:v>comparison</x:v>
      </x:c>
      <x:c r="F28" s="14" t="str">
        <x:v>0</x:v>
      </x:c>
      <x:c r="G28" s="14" t="str">
        <x:v>all_documents</x:v>
      </x:c>
      <x:c r="H28" s="12" t="str">
        <x:v>هل فازت الصين أم فرنسا بعدد أكبر من الميداليات في أولمبياد باريس 2024؟</x:v>
      </x:c>
      <x:c r="I28" s="12" t="str">
        <x:v>فازت الصين بعدد من الميداليات يفوق ما فازت به فرنسا في أولمبياد باريس 2024.</x:v>
      </x:c>
      <x:c r="J28" s="12" t="str">
        <x:v>فازت الصين بعدد أكبر من الميداليات في أولمبياد باريس 2024 بـ 91 ميدالية مقابل 64 ميدالية لفرنسا.</x:v>
      </x:c>
      <x:c r="K28" s="16" t="n">
        <x:v>2</x:v>
      </x:c>
      <x:c r="L28" s="16" t="str">
        <x:v>no</x:v>
      </x:c>
      <x:c r="M28" s="16" t="str">
        <x:v>yes</x:v>
      </x:c>
      <x:c r="N28" s="16" t="str">
        <x:v>no</x:v>
      </x:c>
      <x:c r="O28" s="12" t="str">
        <x:v>Correctly answered that China won more medals and supplied accurate totals.</x:v>
      </x:c>
      <x:c r="P28" s="14" t="str">
        <x:v>17403</x:v>
      </x:c>
      <x:c r="Q28" s="14" t="str">
        <x:v>67</x:v>
      </x:c>
    </x:row>
    <x:row r="29" ht="72" customHeight="1">
      <x:c r="A29" s="14" t="str">
        <x:v>10</x:v>
      </x:c>
      <x:c r="B29" s="14" t="str">
        <x:v>513</x:v>
      </x:c>
      <x:c r="C29" s="14" t="str">
        <x:v>es</x:v>
      </x:c>
      <x:c r="D29" s="14" t="str">
        <x:v>multi_retrieval</x:v>
      </x:c>
      <x:c r="E29" s="14" t="str">
        <x:v>comparison</x:v>
      </x:c>
      <x:c r="F29" s="14" t="str">
        <x:v>2</x:v>
      </x:c>
      <x:c r="G29" s="14" t="str">
        <x:v>no_documents</x:v>
      </x:c>
      <x:c r="H29" s="12" t="str">
        <x:v>¿Qué ataque causó más muertes: el ataque con buscapersonas o el ataque con dispositivos explosivos?</x:v>
      </x:c>
      <x:c r="I29" s="12" t="str">
        <x:v>El ataque con dispositivos explosivos causó más muertes, 24 personas fallecidas, en comparación con el ataque con buscapersonas, que causó al menos nueve muertes.</x:v>
      </x:c>
      <x:c r="J29" s="12" t="str">
        <x:v>El ataque con buscapersonas en Líbano en septiembre de 2024 causó aproximadamente 12 muertes, mientras que el ataque posterior con dispositivos explosivos causó alrededor de 37 muertes, siendo este último más letal.</x:v>
      </x:c>
      <x:c r="K29" s="16" t="n">
        <x:v>1</x:v>
      </x:c>
      <x:c r="L29" s="16" t="str">
        <x:v>no</x:v>
      </x:c>
      <x:c r="M29" s="16" t="str">
        <x:v>yes</x:v>
      </x:c>
      <x:c r="N29" s="16" t="str">
        <x:v>yes</x:v>
      </x:c>
      <x:c r="O29" s="12" t="str">
        <x:v>Correctly chose the explosive-device attack as more deadly, but both death totals were wrong.</x:v>
      </x:c>
      <x:c r="P29" s="14" t="str">
        <x:v>182</x:v>
      </x:c>
      <x:c r="Q29" s="14" t="str">
        <x:v>67</x:v>
      </x:c>
    </x:row>
    <x:row r="30" ht="72" customHeight="1">
      <x:c r="A30" s="14" t="str">
        <x:v>10</x:v>
      </x:c>
      <x:c r="B30" s="14" t="str">
        <x:v>513</x:v>
      </x:c>
      <x:c r="C30" s="14" t="str">
        <x:v>es</x:v>
      </x:c>
      <x:c r="D30" s="14" t="str">
        <x:v>multi_retrieval</x:v>
      </x:c>
      <x:c r="E30" s="14" t="str">
        <x:v>comparison</x:v>
      </x:c>
      <x:c r="F30" s="14" t="str">
        <x:v>2</x:v>
      </x:c>
      <x:c r="G30" s="14" t="str">
        <x:v>support_only</x:v>
      </x:c>
      <x:c r="H30" s="12" t="str">
        <x:v>¿Qué ataque causó más muertes: el ataque con buscapersonas o el ataque con dispositivos explosivos?</x:v>
      </x:c>
      <x:c r="I30" s="12" t="str">
        <x:v>El ataque con dispositivos explosivos causó más muertes, 24 personas fallecidas, en comparación con el ataque con buscapersonas, que causó al menos nueve muertes.</x:v>
      </x:c>
      <x:c r="J30" s="12" t="str">
        <x:v>Según los documentos, el ataque con buscapersonas causó al menos 12 muertes, mientras que el ataque posterior con equipos de radio causó también 12 muertes, resultando en cifras similares de víctimas mortales.</x:v>
      </x:c>
      <x:c r="K30" s="16" t="n">
        <x:v>0</x:v>
      </x:c>
      <x:c r="L30" s="16" t="str">
        <x:v>no</x:v>
      </x:c>
      <x:c r="M30" s="16" t="str">
        <x:v>yes</x:v>
      </x:c>
      <x:c r="N30" s="16" t="str">
        <x:v>yes</x:v>
      </x:c>
      <x:c r="O30" s="12" t="str">
        <x:v>Incorrectly reported equal death totals and failed to identify the more deadly attack.</x:v>
      </x:c>
      <x:c r="P30" s="14" t="str">
        <x:v>4658</x:v>
      </x:c>
      <x:c r="Q30" s="14" t="str">
        <x:v>64</x:v>
      </x:c>
    </x:row>
    <x:row r="31" ht="72" customHeight="1">
      <x:c r="A31" s="14" t="str">
        <x:v>10</x:v>
      </x:c>
      <x:c r="B31" s="14" t="str">
        <x:v>513</x:v>
      </x:c>
      <x:c r="C31" s="14" t="str">
        <x:v>es</x:v>
      </x:c>
      <x:c r="D31" s="14" t="str">
        <x:v>multi_retrieval</x:v>
      </x:c>
      <x:c r="E31" s="14" t="str">
        <x:v>comparison</x:v>
      </x:c>
      <x:c r="F31" s="14" t="str">
        <x:v>2</x:v>
      </x:c>
      <x:c r="G31" s="14" t="str">
        <x:v>all_documents</x:v>
      </x:c>
      <x:c r="H31" s="12" t="str">
        <x:v>¿Qué ataque causó más muertes: el ataque con buscapersonas o el ataque con dispositivos explosivos?</x:v>
      </x:c>
      <x:c r="I31" s="12" t="str">
        <x:v>El ataque con dispositivos explosivos causó más muertes, 24 personas fallecidas, en comparación con el ataque con buscapersonas, que causó al menos nueve muertes.</x:v>
      </x:c>
      <x:c r="J31" s="12" t="str">
        <x:v>El ataque con buscapersonas causó al menos 12 muertes según autoridades libanesas, mientras que el posterior ataque con equipos de radio causó también 12 muertes.</x:v>
      </x:c>
      <x:c r="K31" s="16" t="n">
        <x:v>0</x:v>
      </x:c>
      <x:c r="L31" s="16" t="str">
        <x:v>no</x:v>
      </x:c>
      <x:c r="M31" s="16" t="str">
        <x:v>yes</x:v>
      </x:c>
      <x:c r="N31" s="16" t="str">
        <x:v>yes</x:v>
      </x:c>
      <x:c r="O31" s="12" t="str">
        <x:v>Incorrectly reported equal death totals and failed to identify the more deadly attack.</x:v>
      </x:c>
      <x:c r="P31" s="14" t="str">
        <x:v>20626</x:v>
      </x:c>
      <x:c r="Q31" s="14" t="str">
        <x:v>50</x:v>
      </x:c>
    </x:row>
    <x:row r="32" ht="72" customHeight="1">
      <x:c r="A32" s="14" t="str">
        <x:v>11</x:v>
      </x:c>
      <x:c r="B32" s="14" t="str">
        <x:v>58</x:v>
      </x:c>
      <x:c r="C32" s="14" t="str">
        <x:v>ar</x:v>
      </x:c>
      <x:c r="D32" s="14" t="str">
        <x:v>mono_retrieval</x:v>
      </x:c>
      <x:c r="E32" s="14" t="str">
        <x:v>set</x:v>
      </x:c>
      <x:c r="F32" s="14" t="str">
        <x:v>0</x:v>
      </x:c>
      <x:c r="G32" s="14" t="str">
        <x:v>no_documents</x:v>
      </x:c>
      <x:c r="H32" s="12" t="str">
        <x:v>من هم الحكام الذين أداروا أبرز المباريات النهائية في البطولات الدولية لكرة القدم؟</x:v>
      </x:c>
      <x:c r="I32" s="12"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2" s="12" t="str">
        <x:v>أداروا المباريات النهائية البارزة في البطولات الدولية حكام مثل بيير بيرتولاتشيني في نهائي كأس العالم 2006، وهوارد ويب في نهائي 2010، وبيتر فريسك في نهائي 2014.</x:v>
      </x:c>
      <x:c r="K32" s="16" t="n">
        <x:v>0</x:v>
      </x:c>
      <x:c r="L32" s="16" t="str">
        <x:v>no</x:v>
      </x:c>
      <x:c r="M32" s="16" t="str">
        <x:v>yes</x:v>
      </x:c>
      <x:c r="N32" s="16" t="str">
        <x:v>yes</x:v>
      </x:c>
      <x:c r="O32" s="12" t="str">
        <x:v>Named different referees and finals instead of Marciniak and Turpin.</x:v>
      </x:c>
      <x:c r="P32" s="14" t="str">
        <x:v>193</x:v>
      </x:c>
      <x:c r="Q32" s="14" t="str">
        <x:v>97</x:v>
      </x:c>
    </x:row>
    <x:row r="33" ht="72" customHeight="1">
      <x:c r="A33" s="14" t="str">
        <x:v>11</x:v>
      </x:c>
      <x:c r="B33" s="14" t="str">
        <x:v>58</x:v>
      </x:c>
      <x:c r="C33" s="14" t="str">
        <x:v>ar</x:v>
      </x:c>
      <x:c r="D33" s="14" t="str">
        <x:v>mono_retrieval</x:v>
      </x:c>
      <x:c r="E33" s="14" t="str">
        <x:v>set</x:v>
      </x:c>
      <x:c r="F33" s="14" t="str">
        <x:v>0</x:v>
      </x:c>
      <x:c r="G33" s="14" t="str">
        <x:v>support_only</x:v>
      </x:c>
      <x:c r="H33" s="12" t="str">
        <x:v>من هم الحكام الذين أداروا أبرز المباريات النهائية في البطولات الدولية لكرة القدم؟</x:v>
      </x:c>
      <x:c r="I33" s="12"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3" s="12" t="str">
        <x:v>وفقاً للمستند، أدار سيمون مارسينياك نهائي كأس العالم 2022 بين الأرجنتين وفرنسا، وأدار كليمنت توربان نهائي دوري الأبطال 2021 بين ليفربول وريال مدريد.</x:v>
      </x:c>
      <x:c r="K33" s="16" t="n">
        <x:v>1</x:v>
      </x:c>
      <x:c r="L33" s="16" t="str">
        <x:v>no</x:v>
      </x:c>
      <x:c r="M33" s="16" t="str">
        <x:v>yes</x:v>
      </x:c>
      <x:c r="N33" s="16" t="str">
        <x:v>yes</x:v>
      </x:c>
      <x:c r="O33" s="12" t="str">
        <x:v>Named Marciniak and Turpin, but omitted Turpin's Europa League final and gave incorrect Champions League details.</x:v>
      </x:c>
      <x:c r="P33" s="14" t="str">
        <x:v>2376</x:v>
      </x:c>
      <x:c r="Q33" s="14" t="str">
        <x:v>100</x:v>
      </x:c>
    </x:row>
    <x:row r="34" ht="72" customHeight="1">
      <x:c r="A34" s="14" t="str">
        <x:v>11</x:v>
      </x:c>
      <x:c r="B34" s="14" t="str">
        <x:v>58</x:v>
      </x:c>
      <x:c r="C34" s="14" t="str">
        <x:v>ar</x:v>
      </x:c>
      <x:c r="D34" s="14" t="str">
        <x:v>mono_retrieval</x:v>
      </x:c>
      <x:c r="E34" s="14" t="str">
        <x:v>set</x:v>
      </x:c>
      <x:c r="F34" s="14" t="str">
        <x:v>0</x:v>
      </x:c>
      <x:c r="G34" s="14" t="str">
        <x:v>all_documents</x:v>
      </x:c>
      <x:c r="H34" s="12" t="str">
        <x:v>من هم الحكام الذين أداروا أبرز المباريات النهائية في البطولات الدولية لكرة القدم؟</x:v>
      </x:c>
      <x:c r="I34" s="12"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4" s="12" t="str">
        <x:v>بناءً على المستندات المتاحة، أدار مارك كلاتنبرج نهائي دوري الأبطال الأوروبية 2016 ونهائي بطولة أوروبا 2016، وأدار سيمون مارسينياك نهائي كأس العالم 2022 بين الأرجنتين وفرنسا.</x:v>
      </x:c>
      <x:c r="K34" s="16" t="n">
        <x:v>1</x:v>
      </x:c>
      <x:c r="L34" s="16" t="str">
        <x:v>no</x:v>
      </x:c>
      <x:c r="M34" s="16" t="str">
        <x:v>yes</x:v>
      </x:c>
      <x:c r="N34" s="16" t="str">
        <x:v>yes</x:v>
      </x:c>
      <x:c r="O34" s="12" t="str">
        <x:v>Included Marciniak but substituted Mark Clattenburg for Clement Turpin.</x:v>
      </x:c>
      <x:c r="P34" s="14" t="str">
        <x:v>17574</x:v>
      </x:c>
      <x:c r="Q34" s="14" t="str">
        <x:v>116</x:v>
      </x:c>
    </x:row>
    <x:row r="35" ht="72" customHeight="1">
      <x:c r="A35" s="14" t="str">
        <x:v>12</x:v>
      </x:c>
      <x:c r="B35" s="14" t="str">
        <x:v>1556</x:v>
      </x:c>
      <x:c r="C35" s="14" t="str">
        <x:v>ar</x:v>
      </x:c>
      <x:c r="D35" s="14" t="str">
        <x:v>mono_retrieval</x:v>
      </x:c>
      <x:c r="E35" s="14" t="str">
        <x:v>set</x:v>
      </x:c>
      <x:c r="F35" s="14" t="str">
        <x:v>0</x:v>
      </x:c>
      <x:c r="G35" s="14" t="str">
        <x:v>no_documents</x:v>
      </x:c>
      <x:c r="H35" s="12" t="str">
        <x:v>ما الرموز التي تم استبدالها على تمثال الوطن الأم في كييف بأوكرانيا؟</x:v>
      </x:c>
      <x:c r="I35" s="12" t="str">
        <x:v>استبدلت أوكرانيا المطرقة والمنجل السوفييتيين على تمثال الوطن الأم في كييف بشعار النبالة الأوكراني ذي الرؤوس الثلاثة</x:v>
      </x:c>
      <x:c r="J35" s="12" t="str">
        <x:v>لم أتمكن من العثور على معلومات محددة في المصادر المتاحة عن استبدال رموز معينة على تمثال الوطن الأم في كييف بأوكرانيا.</x:v>
      </x:c>
      <x:c r="K35" s="16" t="n">
        <x:v>0</x:v>
      </x:c>
      <x:c r="L35" s="16" t="str">
        <x:v>yes</x:v>
      </x:c>
      <x:c r="M35" s="16" t="str">
        <x:v>yes</x:v>
      </x:c>
      <x:c r="N35" s="16" t="str">
        <x:v>no</x:v>
      </x:c>
      <x:c r="O35" s="12" t="str">
        <x:v>Refused because it could not find the information.</x:v>
      </x:c>
      <x:c r="P35" s="14" t="str">
        <x:v>190</x:v>
      </x:c>
      <x:c r="Q35" s="14" t="str">
        <x:v>69</x:v>
      </x:c>
    </x:row>
    <x:row r="36" ht="72" customHeight="1">
      <x:c r="A36" s="14" t="str">
        <x:v>12</x:v>
      </x:c>
      <x:c r="B36" s="14" t="str">
        <x:v>1556</x:v>
      </x:c>
      <x:c r="C36" s="14" t="str">
        <x:v>ar</x:v>
      </x:c>
      <x:c r="D36" s="14" t="str">
        <x:v>mono_retrieval</x:v>
      </x:c>
      <x:c r="E36" s="14" t="str">
        <x:v>set</x:v>
      </x:c>
      <x:c r="F36" s="14" t="str">
        <x:v>0</x:v>
      </x:c>
      <x:c r="G36" s="14" t="str">
        <x:v>support_only</x:v>
      </x:c>
      <x:c r="H36" s="12" t="str">
        <x:v>ما الرموز التي تم استبدالها على تمثال الوطن الأم في كييف بأوكرانيا؟</x:v>
      </x:c>
      <x:c r="I36" s="12" t="str">
        <x:v>استبدلت أوكرانيا المطرقة والمنجل السوفييتيين على تمثال الوطن الأم في كييف بشعار النبالة الأوكراني ذي الرؤوس الثلاثة</x:v>
      </x:c>
      <x:c r="J36" s="12" t="str">
        <x:v>تم استبدال المنجل والمطرقة السوفييتية برمز الهلال الأوكراني على تمثال الوطن الأم في كييف.</x:v>
      </x:c>
      <x:c r="K36" s="16" t="n">
        <x:v>1</x:v>
      </x:c>
      <x:c r="L36" s="16" t="str">
        <x:v>no</x:v>
      </x:c>
      <x:c r="M36" s="16" t="str">
        <x:v>yes</x:v>
      </x:c>
      <x:c r="N36" s="16" t="str">
        <x:v>yes</x:v>
      </x:c>
      <x:c r="O36" s="12" t="str">
        <x:v>Correctly identified the removed hammer and sickle but mistranslated the replacement trident as a crescent.</x:v>
      </x:c>
      <x:c r="P36" s="14" t="str">
        <x:v>1761</x:v>
      </x:c>
      <x:c r="Q36" s="14" t="str">
        <x:v>55</x:v>
      </x:c>
    </x:row>
    <x:row r="37" ht="72" customHeight="1">
      <x:c r="A37" s="14" t="str">
        <x:v>12</x:v>
      </x:c>
      <x:c r="B37" s="14" t="str">
        <x:v>1556</x:v>
      </x:c>
      <x:c r="C37" s="14" t="str">
        <x:v>ar</x:v>
      </x:c>
      <x:c r="D37" s="14" t="str">
        <x:v>mono_retrieval</x:v>
      </x:c>
      <x:c r="E37" s="14" t="str">
        <x:v>set</x:v>
      </x:c>
      <x:c r="F37" s="14" t="str">
        <x:v>0</x:v>
      </x:c>
      <x:c r="G37" s="14" t="str">
        <x:v>all_documents</x:v>
      </x:c>
      <x:c r="H37" s="12" t="str">
        <x:v>ما الرموز التي تم استبدالها على تمثال الوطن الأم في كييف بأوكرانيا؟</x:v>
      </x:c>
      <x:c r="I37" s="12" t="str">
        <x:v>استبدلت أوكرانيا المطرقة والمنجل السوفييتيين على تمثال الوطن الأم في كييف بشعار النبالة الأوكراني ذي الرؤوس الثلاثة</x:v>
      </x:c>
      <x:c r="J37" s="12" t="str">
        <x:v>تم استبدال الرموز السوفييتية (المنجل والمطرقة) على درع تمثال الوطن الأم في كييف برمز الهلال الذهبي الأوكراني (التريزوب) في أغسطس 2023.</x:v>
      </x:c>
      <x:c r="K37" s="16" t="n">
        <x:v>1</x:v>
      </x:c>
      <x:c r="L37" s="16" t="str">
        <x:v>no</x:v>
      </x:c>
      <x:c r="M37" s="16" t="str">
        <x:v>yes</x:v>
      </x:c>
      <x:c r="N37" s="16" t="str">
        <x:v>yes</x:v>
      </x:c>
      <x:c r="O37" s="12" t="str">
        <x:v>Identified the hammer and sickle and mentioned the tryzub, but also incorrectly called it a crescent.</x:v>
      </x:c>
      <x:c r="P37" s="14" t="str">
        <x:v>16962</x:v>
      </x:c>
      <x:c r="Q37" s="14" t="str">
        <x:v>84</x:v>
      </x:c>
    </x:row>
    <x:row r="38" ht="72" customHeight="1">
      <x:c r="A38" s="14" t="str">
        <x:v>13</x:v>
      </x:c>
      <x:c r="B38" s="14" t="str">
        <x:v>342</x:v>
      </x:c>
      <x:c r="C38" s="14" t="str">
        <x:v>ar</x:v>
      </x:c>
      <x:c r="D38" s="14" t="str">
        <x:v>mono_retrieval</x:v>
      </x:c>
      <x:c r="E38" s="14" t="str">
        <x:v>aggregation</x:v>
      </x:c>
      <x:c r="F38" s="14" t="str">
        <x:v>1</x:v>
      </x:c>
      <x:c r="G38" s="14" t="str">
        <x:v>no_documents</x:v>
      </x:c>
      <x:c r="H38" s="12" t="str">
        <x:v>كم عدد القصص في الموسم الثالث من مسلسل "بريدجيرتون" التي أثارت ردود فعل متباينة بين المعجبين؟</x:v>
      </x:c>
      <x:c r="I38" s="12" t="str">
        <x:v>أثارت قصتان في الموسم الثالث من مسلسل "بريدجيرتون" ردود فعل متباينة بين المعجبين.</x:v>
      </x:c>
      <x:c r="J38" s="12" t="str">
        <x:v>أعتذر، لكن لا توجد لدي معلومات محددة عن عدد القصص في الموسم الثالث من مسلسل "بريدجيرتون" التي أثارت ردود فعل متباينة بين المعجبين.</x:v>
      </x:c>
      <x:c r="K38" s="16" t="n">
        <x:v>0</x:v>
      </x:c>
      <x:c r="L38" s="16" t="str">
        <x:v>yes</x:v>
      </x:c>
      <x:c r="M38" s="16" t="str">
        <x:v>yes</x:v>
      </x:c>
      <x:c r="N38" s="16" t="str">
        <x:v>no</x:v>
      </x:c>
      <x:c r="O38" s="12" t="str">
        <x:v>Refused because it lacked the specific information.</x:v>
      </x:c>
      <x:c r="P38" s="14" t="str">
        <x:v>207</x:v>
      </x:c>
      <x:c r="Q38" s="14" t="str">
        <x:v>84</x:v>
      </x:c>
    </x:row>
    <x:row r="39" ht="72" customHeight="1">
      <x:c r="A39" s="14" t="str">
        <x:v>13</x:v>
      </x:c>
      <x:c r="B39" s="14" t="str">
        <x:v>342</x:v>
      </x:c>
      <x:c r="C39" s="14" t="str">
        <x:v>ar</x:v>
      </x:c>
      <x:c r="D39" s="14" t="str">
        <x:v>mono_retrieval</x:v>
      </x:c>
      <x:c r="E39" s="14" t="str">
        <x:v>aggregation</x:v>
      </x:c>
      <x:c r="F39" s="14" t="str">
        <x:v>1</x:v>
      </x:c>
      <x:c r="G39" s="14" t="str">
        <x:v>support_only</x:v>
      </x:c>
      <x:c r="H39" s="12" t="str">
        <x:v>كم عدد القصص في الموسم الثالث من مسلسل "بريدجيرتون" التي أثارت ردود فعل متباينة بين المعجبين؟</x:v>
      </x:c>
      <x:c r="I39" s="12" t="str">
        <x:v>أثارت قصتان في الموسم الثالث من مسلسل "بريدجيرتون" ردود فعل متباينة بين المعجبين.</x:v>
      </x:c>
      <x:c r="J39" s="12" t="str">
        <x:v>أثار الموسم الثالث من "بريدجيرتون" ردود فعل متباينة حول قصة كولين وبينيلوب الرومانسية وتغيير جنس شخصية فرانشيسكا المستقبلية إلى امرأة.</x:v>
      </x:c>
      <x:c r="K39" s="16" t="n">
        <x:v>2</x:v>
      </x:c>
      <x:c r="L39" s="16" t="str">
        <x:v>no</x:v>
      </x:c>
      <x:c r="M39" s="16" t="str">
        <x:v>yes</x:v>
      </x:c>
      <x:c r="N39" s="16" t="str">
        <x:v>no</x:v>
      </x:c>
      <x:c r="O39" s="12" t="str">
        <x:v>Listed the two relevant storylines, which fully implies the correct count of two.</x:v>
      </x:c>
      <x:c r="P39" s="14" t="str">
        <x:v>6364</x:v>
      </x:c>
      <x:c r="Q39" s="14" t="str">
        <x:v>90</x:v>
      </x:c>
    </x:row>
    <x:row r="40" ht="72" customHeight="1">
      <x:c r="A40" s="14" t="str">
        <x:v>13</x:v>
      </x:c>
      <x:c r="B40" s="14" t="str">
        <x:v>342</x:v>
      </x:c>
      <x:c r="C40" s="14" t="str">
        <x:v>ar</x:v>
      </x:c>
      <x:c r="D40" s="14" t="str">
        <x:v>mono_retrieval</x:v>
      </x:c>
      <x:c r="E40" s="14" t="str">
        <x:v>aggregation</x:v>
      </x:c>
      <x:c r="F40" s="14" t="str">
        <x:v>1</x:v>
      </x:c>
      <x:c r="G40" s="14" t="str">
        <x:v>all_documents</x:v>
      </x:c>
      <x:c r="H40" s="12" t="str">
        <x:v>كم عدد القصص في الموسم الثالث من مسلسل "بريدجيرتون" التي أثارت ردود فعل متباينة بين المعجبين؟</x:v>
      </x:c>
      <x:c r="I40" s="12" t="str">
        <x:v>أثارت قصتان في الموسم الثالث من مسلسل "بريدجيرتون" ردود فعل متباينة بين المعجبين.</x:v>
      </x:c>
      <x:c r="J40" s="12" t="str">
        <x:v>استقبل الموسم الثالث من "بريدجيرتون" ردود فعل متباينة من المعجبين بشأن عدة قصص، بما فيها قصة حب كولين وبينيلوب، وقرار تغيير جنس شخصية مايكل إلى مايكيلا في قصة فرانشيسكا.</x:v>
      </x:c>
      <x:c r="K40" s="16" t="n">
        <x:v>1</x:v>
      </x:c>
      <x:c r="L40" s="16" t="str">
        <x:v>no</x:v>
      </x:c>
      <x:c r="M40" s="16" t="str">
        <x:v>yes</x:v>
      </x:c>
      <x:c r="N40" s="16" t="str">
        <x:v>yes</x:v>
      </x:c>
      <x:c r="O40" s="12" t="str">
        <x:v>Listed the two correct storylines but called them 'several,' making the requested count ambiguous.</x:v>
      </x:c>
      <x:c r="P40" s="14" t="str">
        <x:v>16434</x:v>
      </x:c>
      <x:c r="Q40" s="14" t="str">
        <x:v>115</x:v>
      </x:c>
    </x:row>
    <x:row r="41" ht="72" customHeight="1">
      <x:c r="A41" s="14" t="str">
        <x:v>14</x:v>
      </x:c>
      <x:c r="B41" s="14" t="str">
        <x:v>52</x:v>
      </x:c>
      <x:c r="C41" s="14" t="str">
        <x:v>ar</x:v>
      </x:c>
      <x:c r="D41" s="14" t="str">
        <x:v>multi_retrieval</x:v>
      </x:c>
      <x:c r="E41" s="14" t="str">
        <x:v>comparison</x:v>
      </x:c>
      <x:c r="F41" s="14" t="str">
        <x:v>2</x:v>
      </x:c>
      <x:c r="G41" s="14" t="str">
        <x:v>no_documents</x:v>
      </x:c>
      <x:c r="H41" s="12" t="str">
        <x:v>أي الحدثين وقع أولاً، اغتيال زعيم حماس إسماعيل هنية أم توقيع إعلان بكين؟</x:v>
      </x:c>
      <x:c r="I41" s="12" t="str">
        <x:v>وُقع على إعلان بكين (23 يوليو) أولاً.</x:v>
      </x:c>
      <x:c r="J41" s="12" t="str">
        <x:v>اغتيال إسماعيل هنية وقع أولاً في يوليو 2024، بينما وقّعت حماس وفصائل فلسطينية إعلان بكين في يوليو 2024 أيضاً لكن بعد الاغتيال.</x:v>
      </x:c>
      <x:c r="K41" s="16" t="n">
        <x:v>0</x:v>
      </x:c>
      <x:c r="L41" s="16" t="str">
        <x:v>no</x:v>
      </x:c>
      <x:c r="M41" s="16" t="str">
        <x:v>yes</x:v>
      </x:c>
      <x:c r="N41" s="16" t="str">
        <x:v>yes</x:v>
      </x:c>
      <x:c r="O41" s="12" t="str">
        <x:v>Incorrectly said Haniyeh's assassination occurred first.</x:v>
      </x:c>
      <x:c r="P41" s="14" t="str">
        <x:v>200</x:v>
      </x:c>
      <x:c r="Q41" s="14" t="str">
        <x:v>89</x:v>
      </x:c>
    </x:row>
    <x:row r="42" ht="72" customHeight="1">
      <x:c r="A42" s="14" t="str">
        <x:v>14</x:v>
      </x:c>
      <x:c r="B42" s="14" t="str">
        <x:v>52</x:v>
      </x:c>
      <x:c r="C42" s="14" t="str">
        <x:v>ar</x:v>
      </x:c>
      <x:c r="D42" s="14" t="str">
        <x:v>multi_retrieval</x:v>
      </x:c>
      <x:c r="E42" s="14" t="str">
        <x:v>comparison</x:v>
      </x:c>
      <x:c r="F42" s="14" t="str">
        <x:v>2</x:v>
      </x:c>
      <x:c r="G42" s="14" t="str">
        <x:v>support_only</x:v>
      </x:c>
      <x:c r="H42" s="12" t="str">
        <x:v>أي الحدثين وقع أولاً، اغتيال زعيم حماس إسماعيل هنية أم توقيع إعلان بكين؟</x:v>
      </x:c>
      <x:c r="I42" s="12" t="str">
        <x:v>وُقع على إعلان بكين (23 يوليو) أولاً.</x:v>
      </x:c>
      <x:c r="J42" s="12" t="str">
        <x:v>توقيع إعلان بكين للمصالحة الفلسطينية وقع أولاً في 23 يوليو 2024، بينما اغتيال إسماعيل هنية وقع في 31 يوليو 2024.</x:v>
      </x:c>
      <x:c r="K42" s="16" t="n">
        <x:v>2</x:v>
      </x:c>
      <x:c r="L42" s="16" t="str">
        <x:v>no</x:v>
      </x:c>
      <x:c r="M42" s="16" t="str">
        <x:v>yes</x:v>
      </x:c>
      <x:c r="N42" s="16" t="str">
        <x:v>no</x:v>
      </x:c>
      <x:c r="O42" s="12" t="str">
        <x:v>Correctly stated that the Beijing Declaration was signed first on July 23.</x:v>
      </x:c>
      <x:c r="P42" s="14" t="str">
        <x:v>6192</x:v>
      </x:c>
      <x:c r="Q42" s="14" t="str">
        <x:v>78</x:v>
      </x:c>
    </x:row>
    <x:row r="43" ht="72" customHeight="1">
      <x:c r="A43" s="14" t="str">
        <x:v>14</x:v>
      </x:c>
      <x:c r="B43" s="14" t="str">
        <x:v>52</x:v>
      </x:c>
      <x:c r="C43" s="14" t="str">
        <x:v>ar</x:v>
      </x:c>
      <x:c r="D43" s="14" t="str">
        <x:v>multi_retrieval</x:v>
      </x:c>
      <x:c r="E43" s="14" t="str">
        <x:v>comparison</x:v>
      </x:c>
      <x:c r="F43" s="14" t="str">
        <x:v>2</x:v>
      </x:c>
      <x:c r="G43" s="14" t="str">
        <x:v>all_documents</x:v>
      </x:c>
      <x:c r="H43" s="12" t="str">
        <x:v>أي الحدثين وقع أولاً، اغتيال زعيم حماس إسماعيل هنية أم توقيع إعلان بكين؟</x:v>
      </x:c>
      <x:c r="I43" s="12" t="str">
        <x:v>وُقع على إعلان بكين (23 يوليو) أولاً.</x:v>
      </x:c>
      <x:c r="J43" s="12" t="str">
        <x:v>توقيع إعلان بكين للمصالحة الفلسطينية وقع أولاً في 23 يوليو 2024، بينما اغتيال إسماعيل هنية وقع لاحقاً في 31 يوليو 2024.</x:v>
      </x:c>
      <x:c r="K43" s="16" t="n">
        <x:v>2</x:v>
      </x:c>
      <x:c r="L43" s="16" t="str">
        <x:v>no</x:v>
      </x:c>
      <x:c r="M43" s="16" t="str">
        <x:v>yes</x:v>
      </x:c>
      <x:c r="N43" s="16" t="str">
        <x:v>no</x:v>
      </x:c>
      <x:c r="O43" s="12" t="str">
        <x:v>Correctly stated that the Beijing Declaration was signed first on July 23.</x:v>
      </x:c>
      <x:c r="P43" s="14" t="str">
        <x:v>17924</x:v>
      </x:c>
      <x:c r="Q43" s="14" t="str">
        <x:v>84</x:v>
      </x:c>
    </x:row>
    <x:row r="44" ht="72" customHeight="1">
      <x:c r="A44" s="14" t="str">
        <x:v>15</x:v>
      </x:c>
      <x:c r="B44" s="14" t="str">
        <x:v>160</x:v>
      </x:c>
      <x:c r="C44" s="14" t="str">
        <x:v>es</x:v>
      </x:c>
      <x:c r="D44" s="14" t="str">
        <x:v>multi_retrieval</x:v>
      </x:c>
      <x:c r="E44" s="14" t="str">
        <x:v>comparison</x:v>
      </x:c>
      <x:c r="F44" s="14" t="str">
        <x:v>0</x:v>
      </x:c>
      <x:c r="G44" s="14" t="str">
        <x:v>no_documents</x:v>
      </x:c>
      <x:c r="H44" s="12" t="str">
        <x:v>¿Qué acuerdo entre Rusia y Corea del Norte incluye más áreas, la asociación integral o el pacto de asistencia mutua en caso de agresión?</x:v>
      </x:c>
      <x:c r="I44" s="12"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4" s="12" t="str">
        <x:v>El pacto de asistencia mutua en caso de agresión entre Rusia y Corea del Norte, firmado en 2024, incluye más áreas que la asociación integral anterior, abarcando defensa, economía, cultura y cooperación técnica.</x:v>
      </x:c>
      <x:c r="K44" s="16" t="n">
        <x:v>0</x:v>
      </x:c>
      <x:c r="L44" s="16" t="str">
        <x:v>no</x:v>
      </x:c>
      <x:c r="M44" s="16" t="str">
        <x:v>yes</x:v>
      </x:c>
      <x:c r="N44" s="16" t="str">
        <x:v>yes</x:v>
      </x:c>
      <x:c r="O44" s="12" t="str">
        <x:v>Incorrectly said the mutual-assistance pact covered more areas and conflated the agreements.</x:v>
      </x:c>
      <x:c r="P44" s="14" t="str">
        <x:v>194</x:v>
      </x:c>
      <x:c r="Q44" s="14" t="str">
        <x:v>64</x:v>
      </x:c>
    </x:row>
    <x:row r="45" ht="72" customHeight="1">
      <x:c r="A45" s="14" t="str">
        <x:v>15</x:v>
      </x:c>
      <x:c r="B45" s="14" t="str">
        <x:v>160</x:v>
      </x:c>
      <x:c r="C45" s="14" t="str">
        <x:v>es</x:v>
      </x:c>
      <x:c r="D45" s="14" t="str">
        <x:v>multi_retrieval</x:v>
      </x:c>
      <x:c r="E45" s="14" t="str">
        <x:v>comparison</x:v>
      </x:c>
      <x:c r="F45" s="14" t="str">
        <x:v>0</x:v>
      </x:c>
      <x:c r="G45" s="14" t="str">
        <x:v>support_only</x:v>
      </x:c>
      <x:c r="H45" s="12" t="str">
        <x:v>¿Qué acuerdo entre Rusia y Corea del Norte incluye más áreas, la asociación integral o el pacto de asistencia mutua en caso de agresión?</x:v>
      </x:c>
      <x:c r="I45" s="12"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5" s="12" t="str">
        <x:v>El acuerdo de asociación integral entre Rusia y Corea del Norte incluye más áreas, cubriendo seguridad, comercio, inversión, cooperación política, cultural y humanitaria, además de cooperación militar-técnica.</x:v>
      </x:c>
      <x:c r="K45" s="16" t="n">
        <x:v>2</x:v>
      </x:c>
      <x:c r="L45" s="16" t="str">
        <x:v>no</x:v>
      </x:c>
      <x:c r="M45" s="16" t="str">
        <x:v>yes</x:v>
      </x:c>
      <x:c r="N45" s="16" t="str">
        <x:v>no</x:v>
      </x:c>
      <x:c r="O45" s="12" t="str">
        <x:v>Correctly identified the comprehensive partnership as covering more areas.</x:v>
      </x:c>
      <x:c r="P45" s="14" t="str">
        <x:v>1650</x:v>
      </x:c>
      <x:c r="Q45" s="14" t="str">
        <x:v>59</x:v>
      </x:c>
    </x:row>
    <x:row r="46" ht="72" customHeight="1">
      <x:c r="A46" s="14" t="str">
        <x:v>15</x:v>
      </x:c>
      <x:c r="B46" s="14" t="str">
        <x:v>160</x:v>
      </x:c>
      <x:c r="C46" s="14" t="str">
        <x:v>es</x:v>
      </x:c>
      <x:c r="D46" s="14" t="str">
        <x:v>multi_retrieval</x:v>
      </x:c>
      <x:c r="E46" s="14" t="str">
        <x:v>comparison</x:v>
      </x:c>
      <x:c r="F46" s="14" t="str">
        <x:v>0</x:v>
      </x:c>
      <x:c r="G46" s="14" t="str">
        <x:v>all_documents</x:v>
      </x:c>
      <x:c r="H46" s="12" t="str">
        <x:v>¿Qué acuerdo entre Rusia y Corea del Norte incluye más áreas, la asociación integral o el pacto de asistencia mutua en caso de agresión?</x:v>
      </x:c>
      <x:c r="I46" s="12"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6" s="12" t="str">
        <x:v>El acuerdo de Asociación Estratégica Integral entre Rusia y Corea del Norte, firmado en junio de 2024, incluye más áreas que el pacto de asistencia mutua, abarcando seguridad, comercio, inversión, cooperación científica y técnica, y vínculos culturales y humanitarios.</x:v>
      </x:c>
      <x:c r="K46" s="16" t="n">
        <x:v>2</x:v>
      </x:c>
      <x:c r="L46" s="16" t="str">
        <x:v>no</x:v>
      </x:c>
      <x:c r="M46" s="16" t="str">
        <x:v>yes</x:v>
      </x:c>
      <x:c r="N46" s="16" t="str">
        <x:v>no</x:v>
      </x:c>
      <x:c r="O46" s="12" t="str">
        <x:v>Correctly identified the comprehensive partnership and summarized its broader scope.</x:v>
      </x:c>
      <x:c r="P46" s="14" t="str">
        <x:v>15413</x:v>
      </x:c>
      <x:c r="Q46" s="14" t="str">
        <x:v>86</x:v>
      </x:c>
    </x:row>
    <x:row r="47" ht="72" customHeight="1">
      <x:c r="A47" s="14" t="str">
        <x:v>16</x:v>
      </x:c>
      <x:c r="B47" s="14" t="str">
        <x:v>118</x:v>
      </x:c>
      <x:c r="C47" s="14" t="str">
        <x:v>ar</x:v>
      </x:c>
      <x:c r="D47" s="14" t="str">
        <x:v>multi_retrieval</x:v>
      </x:c>
      <x:c r="E47" s="14" t="str">
        <x:v>set</x:v>
      </x:c>
      <x:c r="F47" s="14" t="str">
        <x:v>1</x:v>
      </x:c>
      <x:c r="G47" s="14" t="str">
        <x:v>no_documents</x:v>
      </x:c>
      <x:c r="H47" s="12" t="str">
        <x:v>من القادة المشاركون في محادثات وقف إطلاق النار مع إسرائيل في النزاعات الأخيرة؟</x:v>
      </x:c>
      <x:c r="I47" s="12"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47" s="12" t="str">
        <x:v>أنا بحاجة إلى توضيح: السؤال يشير إلى "النزاعات الأخيرة" لكن لم يتم تحديد فترة زمنية دقيقة أو نزاع معين. بناءً على الأخبار الحديثة، شارك قادة من حماس والجهاد الإسلامي والفصائل الفلسطينية الأخرى في محادثات وقف إطلاق النار مع إسرائيل بوساطة مصرية وقطرية وأمريكية.</x:v>
      </x:c>
      <x:c r="K47" s="16" t="n">
        <x:v>0</x:v>
      </x:c>
      <x:c r="L47" s="16" t="str">
        <x:v>yes</x:v>
      </x:c>
      <x:c r="M47" s="16" t="str">
        <x:v>yes</x:v>
      </x:c>
      <x:c r="N47" s="16" t="str">
        <x:v>yes</x:v>
      </x:c>
      <x:c r="O47" s="12" t="str">
        <x:v>Asked for clarification and named organizations and mediators rather than Netanyahu and Biden.</x:v>
      </x:c>
      <x:c r="P47" s="14" t="str">
        <x:v>195</x:v>
      </x:c>
      <x:c r="Q47" s="14" t="str">
        <x:v>173</x:v>
      </x:c>
    </x:row>
    <x:row r="48" ht="72" customHeight="1">
      <x:c r="A48" s="14" t="str">
        <x:v>16</x:v>
      </x:c>
      <x:c r="B48" s="14" t="str">
        <x:v>118</x:v>
      </x:c>
      <x:c r="C48" s="14" t="str">
        <x:v>ar</x:v>
      </x:c>
      <x:c r="D48" s="14" t="str">
        <x:v>multi_retrieval</x:v>
      </x:c>
      <x:c r="E48" s="14" t="str">
        <x:v>set</x:v>
      </x:c>
      <x:c r="F48" s="14" t="str">
        <x:v>1</x:v>
      </x:c>
      <x:c r="G48" s="14" t="str">
        <x:v>support_only</x:v>
      </x:c>
      <x:c r="H48" s="12" t="str">
        <x:v>من القادة المشاركون في محادثات وقف إطلاق النار مع إسرائيل في النزاعات الأخيرة؟</x:v>
      </x:c>
      <x:c r="I48" s="12"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48" s="12" t="str">
        <x:v>وافقت إسرائيل على اتفاق وقف إطلاق النار مع حزب الله اللبناني برعاية أمريكية في نوفمبر 2024، حيث قدم رئيس الوزراء بنيامين نتنياهو الاتفاق للموافقة الحكومية.</x:v>
      </x:c>
      <x:c r="K48" s="16" t="n">
        <x:v>1</x:v>
      </x:c>
      <x:c r="L48" s="16" t="str">
        <x:v>no</x:v>
      </x:c>
      <x:c r="M48" s="16" t="str">
        <x:v>yes</x:v>
      </x:c>
      <x:c r="N48" s="16" t="str">
        <x:v>no</x:v>
      </x:c>
      <x:c r="O48" s="12" t="str">
        <x:v>Identified Netanyahu but omitted Biden, so only half of the requested leaders were supplied.</x:v>
      </x:c>
      <x:c r="P48" s="14" t="str">
        <x:v>4823</x:v>
      </x:c>
      <x:c r="Q48" s="14" t="str">
        <x:v>104</x:v>
      </x:c>
    </x:row>
    <x:row r="49" ht="72" customHeight="1">
      <x:c r="A49" s="14" t="str">
        <x:v>16</x:v>
      </x:c>
      <x:c r="B49" s="14" t="str">
        <x:v>118</x:v>
      </x:c>
      <x:c r="C49" s="14" t="str">
        <x:v>ar</x:v>
      </x:c>
      <x:c r="D49" s="14" t="str">
        <x:v>multi_retrieval</x:v>
      </x:c>
      <x:c r="E49" s="14" t="str">
        <x:v>set</x:v>
      </x:c>
      <x:c r="F49" s="14" t="str">
        <x:v>1</x:v>
      </x:c>
      <x:c r="G49" s="14" t="str">
        <x:v>all_documents</x:v>
      </x:c>
      <x:c r="H49" s="12" t="str">
        <x:v>من القادة المشاركون في محادثات وقف إطلاق النار مع إسرائيل في النزاعات الأخيرة؟</x:v>
      </x:c>
      <x:c r="I49" s="12"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49" s="12" t="str">
        <x:v># الإجابة
وافقت إسرائيل وحزب الله على وقف إطلاق النار برعاية أمريكية في نوفمبر 2024، بينما تجري محادثات منفصلة مع حماس برعاية مصر وقطر والولايات المتحدة.</x:v>
      </x:c>
      <x:c r="K49" s="16" t="n">
        <x:v>0</x:v>
      </x:c>
      <x:c r="L49" s="16" t="str">
        <x:v>no</x:v>
      </x:c>
      <x:c r="M49" s="16" t="str">
        <x:v>yes</x:v>
      </x:c>
      <x:c r="N49" s="16" t="str">
        <x:v>yes</x:v>
      </x:c>
      <x:c r="O49" s="12" t="str">
        <x:v>Named parties and mediators rather than the two leaders, Netanyahu and Biden.</x:v>
      </x:c>
      <x:c r="P49" s="14" t="str">
        <x:v>18481</x:v>
      </x:c>
      <x:c r="Q49" s="14" t="str">
        <x:v>98</x:v>
      </x:c>
    </x:row>
    <x:row r="50" ht="72" customHeight="1">
      <x:c r="A50" s="14" t="str">
        <x:v>17</x:v>
      </x:c>
      <x:c r="B50" s="14" t="str">
        <x:v>47</x:v>
      </x:c>
      <x:c r="C50" s="14" t="str">
        <x:v>es</x:v>
      </x:c>
      <x:c r="D50" s="14" t="str">
        <x:v>mono_retrieval</x:v>
      </x:c>
      <x:c r="E50" s="14" t="str">
        <x:v>comparison</x:v>
      </x:c>
      <x:c r="F50" s="14" t="str">
        <x:v>1</x:v>
      </x:c>
      <x:c r="G50" s="14" t="str">
        <x:v>no_documents</x:v>
      </x:c>
      <x:c r="H50" s="12" t="str">
        <x:v>¿Qué acusación contra Billy Ray Cyrus es más grave, abuso psicológico o el uso indebido de sustancias?</x:v>
      </x:c>
      <x:c r="I50" s="12" t="str">
        <x:v>El abuso psicológico es más grave que el uso indebido de sustancias en las acusaciones contra Billy Ray Cyrus.</x:v>
      </x:c>
      <x:c r="J50" s="12" t="str">
        <x:v>No puedo determinar cuál acusación es "más grave" ya que son de naturaleza diferente; el abuso psicológico es un delito interpersonal mientras que el uso indebido de sustancias es un delito de drogas.</x:v>
      </x:c>
      <x:c r="K50" s="16" t="n">
        <x:v>0</x:v>
      </x:c>
      <x:c r="L50" s="16" t="str">
        <x:v>yes</x:v>
      </x:c>
      <x:c r="M50" s="16" t="str">
        <x:v>yes</x:v>
      </x:c>
      <x:c r="N50" s="16" t="str">
        <x:v>yes</x:v>
      </x:c>
      <x:c r="O50" s="12" t="str">
        <x:v>Refused to compare the allegations and added questionable legal characterizations.</x:v>
      </x:c>
      <x:c r="P50" s="14" t="str">
        <x:v>184</x:v>
      </x:c>
      <x:c r="Q50" s="14" t="str">
        <x:v>60</x:v>
      </x:c>
    </x:row>
    <x:row r="51" ht="72" customHeight="1">
      <x:c r="A51" s="14" t="str">
        <x:v>17</x:v>
      </x:c>
      <x:c r="B51" s="14" t="str">
        <x:v>47</x:v>
      </x:c>
      <x:c r="C51" s="14" t="str">
        <x:v>es</x:v>
      </x:c>
      <x:c r="D51" s="14" t="str">
        <x:v>mono_retrieval</x:v>
      </x:c>
      <x:c r="E51" s="14" t="str">
        <x:v>comparison</x:v>
      </x:c>
      <x:c r="F51" s="14" t="str">
        <x:v>1</x:v>
      </x:c>
      <x:c r="G51" s="14" t="str">
        <x:v>support_only</x:v>
      </x:c>
      <x:c r="H51" s="12" t="str">
        <x:v>¿Qué acusación contra Billy Ray Cyrus es más grave, abuso psicológico o el uso indebido de sustancias?</x:v>
      </x:c>
      <x:c r="I51" s="12" t="str">
        <x:v>El abuso psicológico es más grave que el uso indebido de sustancias en las acusaciones contra Billy Ray Cyrus.</x:v>
      </x:c>
      <x:c r="J51" s="12" t="str">
        <x:v>Según los documentos, Firerose acusa a Billy Ray Cyrus de abuso psicológico extremo y uso de drogas, pero el abuso psicológico se presenta como la acusación más grave en sus demandas legales.</x:v>
      </x:c>
      <x:c r="K51" s="16" t="n">
        <x:v>2</x:v>
      </x:c>
      <x:c r="L51" s="16" t="str">
        <x:v>no</x:v>
      </x:c>
      <x:c r="M51" s="16" t="str">
        <x:v>yes</x:v>
      </x:c>
      <x:c r="N51" s="16" t="str">
        <x:v>no</x:v>
      </x:c>
      <x:c r="O51" s="12" t="str">
        <x:v>Correctly identified psychological abuse as the more serious allegation.</x:v>
      </x:c>
      <x:c r="P51" s="14" t="str">
        <x:v>4182</x:v>
      </x:c>
      <x:c r="Q51" s="14" t="str">
        <x:v>60</x:v>
      </x:c>
    </x:row>
    <x:row r="52" ht="72" customHeight="1">
      <x:c r="A52" s="14" t="str">
        <x:v>17</x:v>
      </x:c>
      <x:c r="B52" s="14" t="str">
        <x:v>47</x:v>
      </x:c>
      <x:c r="C52" s="14" t="str">
        <x:v>es</x:v>
      </x:c>
      <x:c r="D52" s="14" t="str">
        <x:v>mono_retrieval</x:v>
      </x:c>
      <x:c r="E52" s="14" t="str">
        <x:v>comparison</x:v>
      </x:c>
      <x:c r="F52" s="14" t="str">
        <x:v>1</x:v>
      </x:c>
      <x:c r="G52" s="14" t="str">
        <x:v>all_documents</x:v>
      </x:c>
      <x:c r="H52" s="12" t="str">
        <x:v>¿Qué acusación contra Billy Ray Cyrus es más grave, abuso psicológico o el uso indebido de sustancias?</x:v>
      </x:c>
      <x:c r="I52" s="12" t="str">
        <x:v>El abuso psicológico es más grave que el uso indebido de sustancias en las acusaciones contra Billy Ray Cyrus.</x:v>
      </x:c>
      <x:c r="J52" s="12" t="str">
        <x:v>Según los documentos de noticias, Firerose acusa a Billy Ray Cyrus de abuso verbal, emocional y psicológico extremo, mientras que él alega abuso físico; ambas acusaciones son graves en procedimientos legales de divorcio.</x:v>
      </x:c>
      <x:c r="K52" s="16" t="n">
        <x:v>1</x:v>
      </x:c>
      <x:c r="L52" s="16" t="str">
        <x:v>no</x:v>
      </x:c>
      <x:c r="M52" s="16" t="str">
        <x:v>yes</x:v>
      </x:c>
      <x:c r="N52" s="16" t="str">
        <x:v>yes</x:v>
      </x:c>
      <x:c r="O52" s="12" t="str">
        <x:v>Mentioned psychological abuse but did not answer which allegation was more severe and added a different abuse allegation.</x:v>
      </x:c>
      <x:c r="P52" s="14" t="str">
        <x:v>15406</x:v>
      </x:c>
      <x:c r="Q52" s="14" t="str">
        <x:v>67</x:v>
      </x:c>
    </x:row>
    <x:row r="53" ht="72" customHeight="1">
      <x:c r="A53" s="14" t="str">
        <x:v>18</x:v>
      </x:c>
      <x:c r="B53" s="14" t="str">
        <x:v>31</x:v>
      </x:c>
      <x:c r="C53" s="14" t="str">
        <x:v>es</x:v>
      </x:c>
      <x:c r="D53" s="14" t="str">
        <x:v>multi_retrieval</x:v>
      </x:c>
      <x:c r="E53" s="14" t="str">
        <x:v>comparison</x:v>
      </x:c>
      <x:c r="F53" s="14" t="str">
        <x:v>2</x:v>
      </x:c>
      <x:c r="G53" s="14" t="str">
        <x:v>no_documents</x:v>
      </x:c>
      <x:c r="H53" s="12" t="str">
        <x:v>¿Qué acontecimiento ocurrió primero: la intervención de Hezbolá contra Israel o la advertencia de la ONU sobre la escalada del conflicto?</x:v>
      </x:c>
      <x:c r="I53" s="12" t="str">
        <x:v>La intervención de Hezbolá contra Israel ocurrió primero.</x:v>
      </x:c>
      <x:c r="J53" s="12" t="str">
        <x:v>No puedo determinar con precisión cuál ocurrió primero sin documentos específicos que establezcan las fechas exactas de ambos eventos, ya que ha habido múltiples intervenciones de Hezbolá e advertencias de la ONU durante diferentes períodos del conflicto.</x:v>
      </x:c>
      <x:c r="K53" s="16" t="n">
        <x:v>0</x:v>
      </x:c>
      <x:c r="L53" s="16" t="str">
        <x:v>yes</x:v>
      </x:c>
      <x:c r="M53" s="16" t="str">
        <x:v>yes</x:v>
      </x:c>
      <x:c r="N53" s="16" t="str">
        <x:v>no</x:v>
      </x:c>
      <x:c r="O53" s="12" t="str">
        <x:v>Refused to determine which event occurred first.</x:v>
      </x:c>
      <x:c r="P53" s="14" t="str">
        <x:v>191</x:v>
      </x:c>
      <x:c r="Q53" s="14" t="str">
        <x:v>70</x:v>
      </x:c>
    </x:row>
    <x:row r="54" ht="72" customHeight="1">
      <x:c r="A54" s="14" t="str">
        <x:v>18</x:v>
      </x:c>
      <x:c r="B54" s="14" t="str">
        <x:v>31</x:v>
      </x:c>
      <x:c r="C54" s="14" t="str">
        <x:v>es</x:v>
      </x:c>
      <x:c r="D54" s="14" t="str">
        <x:v>multi_retrieval</x:v>
      </x:c>
      <x:c r="E54" s="14" t="str">
        <x:v>comparison</x:v>
      </x:c>
      <x:c r="F54" s="14" t="str">
        <x:v>2</x:v>
      </x:c>
      <x:c r="G54" s="14" t="str">
        <x:v>support_only</x:v>
      </x:c>
      <x:c r="H54" s="12" t="str">
        <x:v>¿Qué acontecimiento ocurrió primero: la intervención de Hezbolá contra Israel o la advertencia de la ONU sobre la escalada del conflicto?</x:v>
      </x:c>
      <x:c r="I54" s="12" t="str">
        <x:v>La intervención de Hezbolá contra Israel ocurrió primero.</x:v>
      </x:c>
      <x:c r="J54" s="12" t="str">
        <x:v>La intervención de Hezbolá contra Israel ocurrió primero el 8 de octubre de 2023, mientras que la advertencia de la ONU sobre la escalada fue emitida el 23 de septiembre de 2024.</x:v>
      </x:c>
      <x:c r="K54" s="16" t="n">
        <x:v>2</x:v>
      </x:c>
      <x:c r="L54" s="16" t="str">
        <x:v>no</x:v>
      </x:c>
      <x:c r="M54" s="16" t="str">
        <x:v>yes</x:v>
      </x:c>
      <x:c r="N54" s="16" t="str">
        <x:v>no</x:v>
      </x:c>
      <x:c r="O54" s="12" t="str">
        <x:v>Correctly stated that Hezbollah's intervention occurred first and supplied dates.</x:v>
      </x:c>
      <x:c r="P54" s="14" t="str">
        <x:v>5336</x:v>
      </x:c>
      <x:c r="Q54" s="14" t="str">
        <x:v>59</x:v>
      </x:c>
    </x:row>
    <x:row r="55" ht="72" customHeight="1">
      <x:c r="A55" s="14" t="str">
        <x:v>18</x:v>
      </x:c>
      <x:c r="B55" s="14" t="str">
        <x:v>31</x:v>
      </x:c>
      <x:c r="C55" s="14" t="str">
        <x:v>es</x:v>
      </x:c>
      <x:c r="D55" s="14" t="str">
        <x:v>multi_retrieval</x:v>
      </x:c>
      <x:c r="E55" s="14" t="str">
        <x:v>comparison</x:v>
      </x:c>
      <x:c r="F55" s="14" t="str">
        <x:v>2</x:v>
      </x:c>
      <x:c r="G55" s="14" t="str">
        <x:v>all_documents</x:v>
      </x:c>
      <x:c r="H55" s="12" t="str">
        <x:v>¿Qué acontecimiento ocurrió primero: la intervención de Hezbolá contra Israel o la advertencia de la ONU sobre la escalada del conflicto?</x:v>
      </x:c>
      <x:c r="I55" s="12" t="str">
        <x:v>La intervención de Hezbolá contra Israel ocurrió primero.</x:v>
      </x:c>
      <x:c r="J55" s="12" t="str">
        <x:v>La intervención de Hezbollah contra Israel ocurrió primero; comenzó el 8 de octubre de 2023, mientras que la advertencia de la ONU sobre la escalada se emitió en septiembre de 2024.</x:v>
      </x:c>
      <x:c r="K55" s="16" t="n">
        <x:v>2</x:v>
      </x:c>
      <x:c r="L55" s="16" t="str">
        <x:v>no</x:v>
      </x:c>
      <x:c r="M55" s="16" t="str">
        <x:v>yes</x:v>
      </x:c>
      <x:c r="N55" s="16" t="str">
        <x:v>no</x:v>
      </x:c>
      <x:c r="O55" s="12" t="str">
        <x:v>Correctly stated that Hezbollah's intervention occurred first and supplied dates.</x:v>
      </x:c>
      <x:c r="P55" s="14" t="str">
        <x:v>20674</x:v>
      </x:c>
      <x:c r="Q55" s="14" t="str">
        <x:v>57</x:v>
      </x:c>
    </x:row>
    <x:row r="56" ht="72" customHeight="1">
      <x:c r="A56" s="14" t="str">
        <x:v>19</x:v>
      </x:c>
      <x:c r="B56" s="14" t="str">
        <x:v>180</x:v>
      </x:c>
      <x:c r="C56" s="14" t="str">
        <x:v>ar</x:v>
      </x:c>
      <x:c r="D56" s="14" t="str">
        <x:v>multi_retrieval</x:v>
      </x:c>
      <x:c r="E56" s="14" t="str">
        <x:v>aggregation</x:v>
      </x:c>
      <x:c r="F56" s="14" t="str">
        <x:v>0</x:v>
      </x:c>
      <x:c r="G56" s="14" t="str">
        <x:v>no_documents</x:v>
      </x:c>
      <x:c r="H56" s="12" t="str">
        <x:v>كم عدد الميداليات الإجمالية التي حصلت عليها فرنسا في أولمبياد باريس 2024 بما في ذلك ذهبية نيكولاس جيستين في سباق الكانو الفردي للرجال؟</x:v>
      </x:c>
      <x:c r="I56" s="12" t="str">
        <x:v>64 ميدالية</x:v>
      </x:c>
      <x:c r="J56" s="12" t="str">
        <x:v>حصلت فرنسا على 64 ميدالية إجمالية في أولمبياد باريس 2024، بما في ذلك ميدالية ذهبية نيكولاس جيستين في سباق الكانو الفردي للرجال.</x:v>
      </x:c>
      <x:c r="K56" s="16" t="n">
        <x:v>2</x:v>
      </x:c>
      <x:c r="L56" s="16" t="str">
        <x:v>no</x:v>
      </x:c>
      <x:c r="M56" s="16" t="str">
        <x:v>yes</x:v>
      </x:c>
      <x:c r="N56" s="16" t="str">
        <x:v>no</x:v>
      </x:c>
      <x:c r="O56" s="12" t="str">
        <x:v>Correctly answered 64 medals.</x:v>
      </x:c>
      <x:c r="P56" s="14" t="str">
        <x:v>233</x:v>
      </x:c>
      <x:c r="Q56" s="14" t="str">
        <x:v>84</x:v>
      </x:c>
    </x:row>
    <x:row r="57" ht="72" customHeight="1">
      <x:c r="A57" s="14" t="str">
        <x:v>19</x:v>
      </x:c>
      <x:c r="B57" s="14" t="str">
        <x:v>180</x:v>
      </x:c>
      <x:c r="C57" s="14" t="str">
        <x:v>ar</x:v>
      </x:c>
      <x:c r="D57" s="14" t="str">
        <x:v>multi_retrieval</x:v>
      </x:c>
      <x:c r="E57" s="14" t="str">
        <x:v>aggregation</x:v>
      </x:c>
      <x:c r="F57" s="14" t="str">
        <x:v>0</x:v>
      </x:c>
      <x:c r="G57" s="14" t="str">
        <x:v>support_only</x:v>
      </x:c>
      <x:c r="H57" s="12" t="str">
        <x:v>كم عدد الميداليات الإجمالية التي حصلت عليها فرنسا في أولمبياد باريس 2024 بما في ذلك ذهبية نيكولاس جيستين في سباق الكانو الفردي للرجال؟</x:v>
      </x:c>
      <x:c r="I57" s="12" t="str">
        <x:v>64 ميدالية</x:v>
      </x:c>
      <x:c r="J57" s="12" t="str">
        <x:v>حصلت فرنسا على 64 ميدالية إجمالية في أولمبياد باريس 2024 موزعة على 16 ذهبية و26 فضية و22 برونزية.</x:v>
      </x:c>
      <x:c r="K57" s="16" t="n">
        <x:v>2</x:v>
      </x:c>
      <x:c r="L57" s="16" t="str">
        <x:v>no</x:v>
      </x:c>
      <x:c r="M57" s="16" t="str">
        <x:v>yes</x:v>
      </x:c>
      <x:c r="N57" s="16" t="str">
        <x:v>no</x:v>
      </x:c>
      <x:c r="O57" s="12" t="str">
        <x:v>Correctly answered 64 medals and supplied the medal breakdown.</x:v>
      </x:c>
      <x:c r="P57" s="14" t="str">
        <x:v>4122</x:v>
      </x:c>
      <x:c r="Q57" s="14" t="str">
        <x:v>67</x:v>
      </x:c>
    </x:row>
    <x:row r="58" ht="72" customHeight="1">
      <x:c r="A58" s="14" t="str">
        <x:v>19</x:v>
      </x:c>
      <x:c r="B58" s="14" t="str">
        <x:v>180</x:v>
      </x:c>
      <x:c r="C58" s="14" t="str">
        <x:v>ar</x:v>
      </x:c>
      <x:c r="D58" s="14" t="str">
        <x:v>multi_retrieval</x:v>
      </x:c>
      <x:c r="E58" s="14" t="str">
        <x:v>aggregation</x:v>
      </x:c>
      <x:c r="F58" s="14" t="str">
        <x:v>0</x:v>
      </x:c>
      <x:c r="G58" s="14" t="str">
        <x:v>all_documents</x:v>
      </x:c>
      <x:c r="H58" s="12" t="str">
        <x:v>كم عدد الميداليات الإجمالية التي حصلت عليها فرنسا في أولمبياد باريس 2024 بما في ذلك ذهبية نيكولاس جيستين في سباق الكانو الفردي للرجال؟</x:v>
      </x:c>
      <x:c r="I58" s="12" t="str">
        <x:v>64 ميدالية</x:v>
      </x:c>
      <x:c r="J58" s="12" t="str">
        <x:v>حصلت فرنسا على 64 ميدالية إجمالية في أولمبياد باريس 2024، موزعة على 16 ذهبية و26 فضية و22 برونزية.</x:v>
      </x:c>
      <x:c r="K58" s="16" t="n">
        <x:v>2</x:v>
      </x:c>
      <x:c r="L58" s="16" t="str">
        <x:v>no</x:v>
      </x:c>
      <x:c r="M58" s="16" t="str">
        <x:v>yes</x:v>
      </x:c>
      <x:c r="N58" s="16" t="str">
        <x:v>no</x:v>
      </x:c>
      <x:c r="O58" s="12" t="str">
        <x:v>Correctly answered 64 medals and supplied the medal breakdown.</x:v>
      </x:c>
      <x:c r="P58" s="14" t="str">
        <x:v>19568</x:v>
      </x:c>
      <x:c r="Q58" s="14" t="str">
        <x:v>67</x:v>
      </x:c>
    </x:row>
    <x:row r="59" ht="72" customHeight="1">
      <x:c r="A59" s="14" t="str">
        <x:v>20</x:v>
      </x:c>
      <x:c r="B59" s="14" t="str">
        <x:v>368</x:v>
      </x:c>
      <x:c r="C59" s="14" t="str">
        <x:v>es</x:v>
      </x:c>
      <x:c r="D59" s="14" t="str">
        <x:v>multi_retrieval</x:v>
      </x:c>
      <x:c r="E59" s="14" t="str">
        <x:v>aggregation</x:v>
      </x:c>
      <x:c r="F59" s="14" t="str">
        <x:v>1</x:v>
      </x:c>
      <x:c r="G59" s="14" t="str">
        <x:v>no_documents</x:v>
      </x:c>
      <x:c r="H59" s="12" t="str">
        <x:v>¿Cuántos países están involucrados en las operaciones militares ampliadas de Israel y en el conflicto entre Israel y Palestina?</x:v>
      </x:c>
      <x:c r="I59" s="12" t="str">
        <x:v>Tres países están directamente involucrados en las operaciones militares ampliadas de Israel y en el conflicto entre Israel y Palestina: Israel, el Líbano (incluyendo a Hezbolá) e Irán.</x:v>
      </x:c>
      <x:c r="J59" s="12" t="str">
        <x:v>Según reportes de noticias, Israel ha estado involucrado en operaciones militares con múltiples países, incluyendo enfrentamientos con Irán, Siria, Líbano y grupos palestinos, aunque el número exacto varía según la fuente y período específico.</x:v>
      </x:c>
      <x:c r="K59" s="16" t="n">
        <x:v>1</x:v>
      </x:c>
      <x:c r="L59" s="16" t="str">
        <x:v>no</x:v>
      </x:c>
      <x:c r="M59" s="16" t="str">
        <x:v>yes</x:v>
      </x:c>
      <x:c r="N59" s="16" t="str">
        <x:v>yes</x:v>
      </x:c>
      <x:c r="O59" s="12" t="str">
        <x:v>Mentioned Israel, Iran, and Lebanon but gave no exact count and added Syria and other actors.</x:v>
      </x:c>
      <x:c r="P59" s="14" t="str">
        <x:v>184</x:v>
      </x:c>
      <x:c r="Q59" s="14" t="str">
        <x:v>70</x:v>
      </x:c>
    </x:row>
    <x:row r="60" ht="72" customHeight="1">
      <x:c r="A60" s="14" t="str">
        <x:v>20</x:v>
      </x:c>
      <x:c r="B60" s="14" t="str">
        <x:v>368</x:v>
      </x:c>
      <x:c r="C60" s="14" t="str">
        <x:v>es</x:v>
      </x:c>
      <x:c r="D60" s="14" t="str">
        <x:v>multi_retrieval</x:v>
      </x:c>
      <x:c r="E60" s="14" t="str">
        <x:v>aggregation</x:v>
      </x:c>
      <x:c r="F60" s="14" t="str">
        <x:v>1</x:v>
      </x:c>
      <x:c r="G60" s="14" t="str">
        <x:v>support_only</x:v>
      </x:c>
      <x:c r="H60" s="12" t="str">
        <x:v>¿Cuántos países están involucrados en las operaciones militares ampliadas de Israel y en el conflicto entre Israel y Palestina?</x:v>
      </x:c>
      <x:c r="I60" s="12" t="str">
        <x:v>Tres países están directamente involucrados en las operaciones militares ampliadas de Israel y en el conflicto entre Israel y Palestina: Israel, el Líbano (incluyendo a Hezbolá) e Irán.</x:v>
      </x:c>
      <x:c r="J60" s="12" t="str">
        <x:v>Según los documentos, Israel ha expandido operaciones militares a Líbano, mientras que el conflicto involucra a Palestina, Irán, Hezbolá, Hamas y potencialmente Arabia Saudita y otros actores regionales.</x:v>
      </x:c>
      <x:c r="K60" s="16" t="n">
        <x:v>1</x:v>
      </x:c>
      <x:c r="L60" s="16" t="str">
        <x:v>no</x:v>
      </x:c>
      <x:c r="M60" s="16" t="str">
        <x:v>yes</x:v>
      </x:c>
      <x:c r="N60" s="16" t="str">
        <x:v>yes</x:v>
      </x:c>
      <x:c r="O60" s="12" t="str">
        <x:v>Included the core countries but gave no count and added several extra actors.</x:v>
      </x:c>
      <x:c r="P60" s="14" t="str">
        <x:v>3575</x:v>
      </x:c>
      <x:c r="Q60" s="14" t="str">
        <x:v>64</x:v>
      </x:c>
    </x:row>
    <x:row r="61" ht="72" customHeight="1">
      <x:c r="A61" s="14" t="str">
        <x:v>20</x:v>
      </x:c>
      <x:c r="B61" s="14" t="str">
        <x:v>368</x:v>
      </x:c>
      <x:c r="C61" s="14" t="str">
        <x:v>es</x:v>
      </x:c>
      <x:c r="D61" s="14" t="str">
        <x:v>multi_retrieval</x:v>
      </x:c>
      <x:c r="E61" s="14" t="str">
        <x:v>aggregation</x:v>
      </x:c>
      <x:c r="F61" s="14" t="str">
        <x:v>1</x:v>
      </x:c>
      <x:c r="G61" s="14" t="str">
        <x:v>all_documents</x:v>
      </x:c>
      <x:c r="H61" s="12" t="str">
        <x:v>¿Cuántos países están involucrados en las operaciones militares ampliadas de Israel y en el conflicto entre Israel y Palestina?</x:v>
      </x:c>
      <x:c r="I61" s="12" t="str">
        <x:v>Tres países están directamente involucrados en las operaciones militares ampliadas de Israel y en el conflicto entre Israel y Palestina: Israel, el Líbano (incluyendo a Hezbolá) e Irán.</x:v>
      </x:c>
      <x:c r="J61" s="12" t="str">
        <x:v># Respuesta
Los documentos no especifican un número exacto de países directamente involucrados en operaciones militares ampliadas, pero mencionan que Estados Unidos, Irán, Líbano, Hezbolá y otros actores regionales participan en el conflicto israelí-palestino.</x:v>
      </x:c>
      <x:c r="K61" s="16" t="n">
        <x:v>0</x:v>
      </x:c>
      <x:c r="L61" s="16" t="str">
        <x:v>yes</x:v>
      </x:c>
      <x:c r="M61" s="16" t="str">
        <x:v>yes</x:v>
      </x:c>
      <x:c r="N61" s="16" t="str">
        <x:v>yes</x:v>
      </x:c>
      <x:c r="O61" s="12" t="str">
        <x:v>Said no exact count was available and listed extra actors instead of answering three countries.</x:v>
      </x:c>
      <x:c r="P61" s="14" t="str">
        <x:v>16124</x:v>
      </x:c>
      <x:c r="Q61" s="14" t="str">
        <x:v>76</x:v>
      </x:c>
    </x:row>
  </x:sheetData>
  <x:conditionalFormatting sqref="K2:K61">
    <x:cfRule type="cellIs" dxfId="0" priority="1">
      <x:formula>2</x:formula>
    </x:cfRule>
    <x:cfRule type="cellIs" dxfId="1" priority="2">
      <x:formula>1</x:formula>
    </x:cfRule>
    <x:cfRule type="cellIs" dxfId="2" priority="3">
      <x:formula>0</x:formula>
    </x:cfRule>
  </x:conditionalFormatting>
  <x:conditionalFormatting sqref="L2:L61">
    <x:cfRule type="expression" dxfId="3" priority="4">
      <x:formula>L2="yes"</x:formula>
    </x:cfRule>
    <x:cfRule type="expression" dxfId="4" priority="5">
      <x:formula>L2="no"</x:formula>
    </x:cfRule>
  </x:conditionalFormatting>
  <x:conditionalFormatting sqref="N2:N61">
    <x:cfRule type="expression" dxfId="5" priority="6">
      <x:formula>N2="yes"</x:formula>
    </x:cfRule>
    <x:cfRule type="expression" dxfId="6" priority="7">
      <x:formula>N2="no"</x:formula>
    </x:cfRule>
  </x:conditionalFormatting>
  <x:conditionalFormatting sqref="M2:M61">
    <x:cfRule type="expression" dxfId="7" priority="8">
      <x:formula>M2="yes"</x:formula>
    </x:cfRule>
    <x:cfRule type="expression" dxfId="8" priority="9">
      <x:formula>M2="no"</x:formula>
    </x:cfRule>
  </x:conditionalFormatting>
  <x:dataValidations count="4">
    <x:dataValidation type="list" sqref="K2:K61">
      <x:formula1>"0,1,2"</x:formula1>
    </x:dataValidation>
    <x:dataValidation type="list" sqref="L2:L61">
      <x:formula1>"yes,no"</x:formula1>
    </x:dataValidation>
    <x:dataValidation type="list" sqref="M2:M61">
      <x:formula1>"yes,no"</x:formula1>
    </x:dataValidation>
    <x:dataValidation type="list" sqref="N2:N61">
      <x:formula1>"yes,no"</x:formula1>
    </x:dataValidation>
  </x:dataValidations>
  <x:pageMargins left="0.7" right="0.7" top="0.75" bottom="0.75" header="0.3" footer="0.3"/>
  <x:tableParts count="1">
    <x:tablePart xmlns:r="http://schemas.openxmlformats.org/officeDocument/2006/relationships" r:id="R0033ec0d5c944694"/>
  </x:tableParts>
</x:worksheet>
</file>

<file path=xl/worksheets/sheet2.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4" hidden="0" customWidth="1"/>
    <x:col min="5" max="5" width="12" hidden="0" customWidth="1"/>
    <x:col min="6" max="6" width="12" hidden="0" customWidth="1"/>
    <x:col min="7" max="7" width="12" hidden="0" customWidth="1"/>
    <x:col min="8" max="8" width="16" hidden="0" customWidth="1"/>
    <x:col min="9" max="9" width="14" hidden="0" customWidth="1"/>
    <x:col min="10" max="10" width="16" hidden="0" customWidth="1"/>
    <x:col min="12" max="12" width="18" hidden="0" customWidth="1"/>
    <x:col min="13" max="13" width="16" hidden="0" customWidth="1"/>
  </x:cols>
  <x:sheetData>
    <x:row r="1" ht="32" customHeight="1">
      <x:c r="A1" s="20" t="str">
        <x:v>XRAG Pilot Experiment — Scored Results Summary</x:v>
      </x:c>
      <x:c r="B1" s="20"/>
      <x:c r="C1" s="20"/>
      <x:c r="D1" s="20"/>
      <x:c r="E1" s="20"/>
      <x:c r="F1" s="20"/>
      <x:c r="G1" s="20"/>
      <x:c r="H1" s="20"/>
      <x:c r="I1" s="20"/>
    </x:row>
    <x:row r="3">
      <x:c r="A3" s="34" t="str">
        <x:v>Metric</x:v>
      </x:c>
      <x:c r="B3" s="34" t="str">
        <x:v>Value</x:v>
      </x:c>
      <x:c r="C3" s="35"/>
      <x:c r="D3" s="35"/>
      <x:c r="E3" s="35"/>
      <x:c r="F3" s="35"/>
      <x:c r="G3" s="35"/>
      <x:c r="H3" s="35"/>
      <x:c r="I3" s="35"/>
      <x:c r="J3" s="35"/>
    </x:row>
    <x:row r="4">
      <x:c r="A4" s="35" t="str">
        <x:v>Total responses</x:v>
      </x:c>
      <x:c r="B4" s="35" t="n">
        <x:f>COUNTA('Scored Results'!$A$2:$A$61)</x:f>
        <x:v>60</x:v>
      </x:c>
      <x:c r="C4" s="35"/>
      <x:c r="D4" s="35"/>
      <x:c r="E4" s="35"/>
      <x:c r="F4" s="35"/>
      <x:c r="G4" s="35"/>
      <x:c r="H4" s="35"/>
      <x:c r="I4" s="35"/>
      <x:c r="J4" s="35"/>
    </x:row>
    <x:row r="5">
      <x:c r="A5" s="35" t="str">
        <x:v>Overall average score</x:v>
      </x:c>
      <x:c r="B5" s="36" t="n">
        <x:f>SUM('Scored Results'!$K$2:$K$61)/COUNT('Scored Results'!$K$2:$K$61)</x:f>
        <x:v>0.9333333333333333</x:v>
      </x:c>
      <x:c r="C5" s="35"/>
      <x:c r="D5" s="35"/>
      <x:c r="E5" s="35"/>
      <x:c r="F5" s="35"/>
      <x:c r="G5" s="35"/>
      <x:c r="H5" s="35"/>
      <x:c r="I5" s="35"/>
      <x:c r="J5" s="35"/>
    </x:row>
    <x:row r="6">
      <x:c r="A6" s="35" t="str">
        <x:v>Fully correct rate</x:v>
      </x:c>
      <x:c r="B6" s="37" t="n">
        <x:f>COUNTIF('Scored Results'!$K$2:$K$61,2)/COUNT('Scored Results'!$K$2:$K$61)</x:f>
        <x:v>0.3333333333333333</x:v>
      </x:c>
      <x:c r="C6" s="35"/>
      <x:c r="D6" s="35"/>
      <x:c r="E6" s="35"/>
      <x:c r="F6" s="35"/>
      <x:c r="G6" s="35"/>
      <x:c r="H6" s="35"/>
      <x:c r="I6" s="35"/>
      <x:c r="J6" s="35"/>
    </x:row>
    <x:row r="7">
      <x:c r="A7" s="35" t="str">
        <x:v>Refusal rate</x:v>
      </x:c>
      <x:c r="B7" s="37" t="n">
        <x:f>COUNTIF('Scored Results'!$L$2:$L$61,"yes")/COUNTA('Scored Results'!$L$2:$L$61)</x:f>
        <x:v>0.16666666666666666</x:v>
      </x:c>
      <x:c r="C7" s="35"/>
      <x:c r="D7" s="35"/>
      <x:c r="E7" s="35"/>
      <x:c r="F7" s="35"/>
      <x:c r="G7" s="35"/>
      <x:c r="H7" s="35"/>
      <x:c r="I7" s="35"/>
      <x:c r="J7" s="35"/>
    </x:row>
    <x:row r="8">
      <x:c r="A8" s="35" t="str">
        <x:v>Correct-language rate</x:v>
      </x:c>
      <x:c r="B8" s="37" t="n">
        <x:f>COUNTIF('Scored Results'!$M$2:$M$61,"yes")/COUNTA('Scored Results'!$M$2:$M$61)</x:f>
        <x:v>0.9833333333333333</x:v>
      </x:c>
      <x:c r="C8" s="35"/>
      <x:c r="D8" s="35"/>
      <x:c r="E8" s="35"/>
      <x:c r="F8" s="35"/>
      <x:c r="G8" s="35"/>
      <x:c r="H8" s="35"/>
      <x:c r="I8" s="35"/>
      <x:c r="J8" s="35"/>
    </x:row>
    <x:row r="9">
      <x:c r="A9" s="35" t="str">
        <x:v>Unsupported-information rate</x:v>
      </x:c>
      <x:c r="B9" s="37" t="n">
        <x:f>COUNTIF('Scored Results'!$N$2:$N$61,"yes")/COUNTA('Scored Results'!$N$2:$N$61)</x:f>
        <x:v>0.43333333333333335</x:v>
      </x:c>
      <x:c r="C9" s="35"/>
      <x:c r="D9" s="35"/>
      <x:c r="E9" s="35"/>
      <x:c r="F9" s="35"/>
      <x:c r="G9" s="35"/>
      <x:c r="H9" s="35"/>
      <x:c r="I9" s="35"/>
      <x:c r="J9" s="35"/>
    </x:row>
    <x:row r="10">
      <x:c r="A10" s="35"/>
      <x:c r="B10" s="35"/>
      <x:c r="C10" s="35"/>
      <x:c r="D10" s="35"/>
      <x:c r="E10" s="35"/>
      <x:c r="F10" s="35"/>
      <x:c r="G10" s="35"/>
      <x:c r="H10" s="35"/>
      <x:c r="I10" s="35"/>
      <x:c r="J10" s="35"/>
    </x:row>
    <x:row r="11">
      <x:c r="A11" s="35"/>
      <x:c r="B11" s="35"/>
      <x:c r="C11" s="35"/>
      <x:c r="D11" s="35"/>
      <x:c r="E11" s="35"/>
      <x:c r="F11" s="35"/>
      <x:c r="G11" s="35"/>
      <x:c r="H11" s="35"/>
      <x:c r="I11" s="35"/>
      <x:c r="J11" s="35"/>
    </x:row>
    <x:row r="12">
      <x:c r="A12" s="34" t="str">
        <x:v>Condition</x:v>
      </x:c>
      <x:c r="B12" s="34" t="str">
        <x:v>Responses</x:v>
      </x:c>
      <x:c r="C12" s="34" t="str">
        <x:v>Avg Score</x:v>
      </x:c>
      <x:c r="D12" s="34" t="str">
        <x:v>Fully Correct</x:v>
      </x:c>
      <x:c r="E12" s="34" t="str">
        <x:v>Partial</x:v>
      </x:c>
      <x:c r="F12" s="34" t="str">
        <x:v>Incorrect</x:v>
      </x:c>
      <x:c r="G12" s="34" t="str">
        <x:v>Refusals</x:v>
      </x:c>
      <x:c r="H12" s="34" t="str">
        <x:v>Correct Language</x:v>
      </x:c>
      <x:c r="I12" s="34" t="str">
        <x:v>Unsupported</x:v>
      </x:c>
      <x:c r="J12" s="34" t="str">
        <x:v>Input Tokens</x:v>
      </x:c>
      <x:c r="L12" s="5" t="str">
        <x:v>Condition</x:v>
      </x:c>
      <x:c r="M12" s="5" t="str">
        <x:v>Average Score</x:v>
      </x:c>
    </x:row>
    <x:row r="13">
      <x:c r="A13" s="35" t="str">
        <x:v>no_documents</x:v>
      </x:c>
      <x:c r="B13" s="35" t="n">
        <x:f>COUNTIF('Scored Results'!$G$2:$G$61,A13)</x:f>
        <x:v>20</x:v>
      </x:c>
      <x:c r="C13" s="36" t="n">
        <x:f>SUMIF('Scored Results'!$G$2:$G$61,A13,'Scored Results'!$K$2:$K$61)/B13</x:f>
        <x:v>0.45</x:v>
      </x:c>
      <x:c r="D13" s="35" t="n">
        <x:f>COUNTIFS('Scored Results'!$G$2:$G$61,A13,'Scored Results'!$K$2:$K$61,2)</x:f>
        <x:v>3</x:v>
      </x:c>
      <x:c r="E13" s="35" t="n">
        <x:f>COUNTIFS('Scored Results'!$G$2:$G$61,A13,'Scored Results'!$K$2:$K$61,1)</x:f>
        <x:v>3</x:v>
      </x:c>
      <x:c r="F13" s="35" t="n">
        <x:f>COUNTIFS('Scored Results'!$G$2:$G$61,A13,'Scored Results'!$K$2:$K$61,0)</x:f>
        <x:v>14</x:v>
      </x:c>
      <x:c r="G13" s="35" t="n">
        <x:f>COUNTIFS('Scored Results'!$G$2:$G$61,A13,'Scored Results'!$L$2:$L$61,"yes")</x:f>
        <x:v>9</x:v>
      </x:c>
      <x:c r="H13" s="37" t="n">
        <x:f>COUNTIFS('Scored Results'!$G$2:$G$61,A13,'Scored Results'!$M$2:$M$61,"yes")/B13</x:f>
        <x:v>1</x:v>
      </x:c>
      <x:c r="I13" s="37" t="n">
        <x:f>COUNTIFS('Scored Results'!$G$2:$G$61,A13,'Scored Results'!$N$2:$N$61,"yes")/B13</x:f>
        <x:v>0.55</x:v>
      </x:c>
      <x:c r="J13" s="35" t="n">
        <x:f>SUMIF('Scored Results'!$G$2:$G$61,A13,'Scored Results'!$P$2:$P$61)</x:f>
        <x:v>3836</x:v>
      </x:c>
      <x:c r="L13" t="str">
        <x:v>no_documents</x:v>
      </x:c>
      <x:c r="M13" s="24" t="n">
        <x:f>C13</x:f>
        <x:v>0.45</x:v>
      </x:c>
    </x:row>
    <x:row r="14">
      <x:c r="A14" s="35" t="str">
        <x:v>support_only</x:v>
      </x:c>
      <x:c r="B14" s="35" t="n">
        <x:f>COUNTIF('Scored Results'!$G$2:$G$61,A14)</x:f>
        <x:v>20</x:v>
      </x:c>
      <x:c r="C14" s="36" t="n">
        <x:f>SUMIF('Scored Results'!$G$2:$G$61,A14,'Scored Results'!$K$2:$K$61)/B14</x:f>
        <x:v>1.35</x:v>
      </x:c>
      <x:c r="D14" s="35" t="n">
        <x:f>COUNTIFS('Scored Results'!$G$2:$G$61,A14,'Scored Results'!$K$2:$K$61,2)</x:f>
        <x:v>10</x:v>
      </x:c>
      <x:c r="E14" s="35" t="n">
        <x:f>COUNTIFS('Scored Results'!$G$2:$G$61,A14,'Scored Results'!$K$2:$K$61,1)</x:f>
        <x:v>7</x:v>
      </x:c>
      <x:c r="F14" s="35" t="n">
        <x:f>COUNTIFS('Scored Results'!$G$2:$G$61,A14,'Scored Results'!$K$2:$K$61,0)</x:f>
        <x:v>3</x:v>
      </x:c>
      <x:c r="G14" s="35" t="n">
        <x:f>COUNTIFS('Scored Results'!$G$2:$G$61,A14,'Scored Results'!$L$2:$L$61,"yes")</x:f>
        <x:v>0</x:v>
      </x:c>
      <x:c r="H14" s="37" t="n">
        <x:f>COUNTIFS('Scored Results'!$G$2:$G$61,A14,'Scored Results'!$M$2:$M$61,"yes")/B14</x:f>
        <x:v>1</x:v>
      </x:c>
      <x:c r="I14" s="37" t="n">
        <x:f>COUNTIFS('Scored Results'!$G$2:$G$61,A14,'Scored Results'!$N$2:$N$61,"yes")/B14</x:f>
        <x:v>0.2</x:v>
      </x:c>
      <x:c r="J14" s="35" t="n">
        <x:f>SUMIF('Scored Results'!$G$2:$G$61,A14,'Scored Results'!$P$2:$P$61)</x:f>
        <x:v>72177</x:v>
      </x:c>
      <x:c r="L14" t="str">
        <x:v>support_only</x:v>
      </x:c>
      <x:c r="M14" s="24" t="n">
        <x:f>C14</x:f>
        <x:v>1.35</x:v>
      </x:c>
    </x:row>
    <x:row r="15">
      <x:c r="A15" s="35" t="str">
        <x:v>all_documents</x:v>
      </x:c>
      <x:c r="B15" s="35" t="n">
        <x:f>COUNTIF('Scored Results'!$G$2:$G$61,A15)</x:f>
        <x:v>20</x:v>
      </x:c>
      <x:c r="C15" s="36" t="n">
        <x:f>SUMIF('Scored Results'!$G$2:$G$61,A15,'Scored Results'!$K$2:$K$61)/B15</x:f>
        <x:v>1</x:v>
      </x:c>
      <x:c r="D15" s="35" t="n">
        <x:f>COUNTIFS('Scored Results'!$G$2:$G$61,A15,'Scored Results'!$K$2:$K$61,2)</x:f>
        <x:v>7</x:v>
      </x:c>
      <x:c r="E15" s="35" t="n">
        <x:f>COUNTIFS('Scored Results'!$G$2:$G$61,A15,'Scored Results'!$K$2:$K$61,1)</x:f>
        <x:v>6</x:v>
      </x:c>
      <x:c r="F15" s="35" t="n">
        <x:f>COUNTIFS('Scored Results'!$G$2:$G$61,A15,'Scored Results'!$K$2:$K$61,0)</x:f>
        <x:v>7</x:v>
      </x:c>
      <x:c r="G15" s="35" t="n">
        <x:f>COUNTIFS('Scored Results'!$G$2:$G$61,A15,'Scored Results'!$L$2:$L$61,"yes")</x:f>
        <x:v>1</x:v>
      </x:c>
      <x:c r="H15" s="37" t="n">
        <x:f>COUNTIFS('Scored Results'!$G$2:$G$61,A15,'Scored Results'!$M$2:$M$61,"yes")/B15</x:f>
        <x:v>0.95</x:v>
      </x:c>
      <x:c r="I15" s="37" t="n">
        <x:f>COUNTIFS('Scored Results'!$G$2:$G$61,A15,'Scored Results'!$N$2:$N$61,"yes")/B15</x:f>
        <x:v>0.55</x:v>
      </x:c>
      <x:c r="J15" s="35" t="n">
        <x:f>SUMIF('Scored Results'!$G$2:$G$61,A15,'Scored Results'!$P$2:$P$61)</x:f>
        <x:v>343522</x:v>
      </x:c>
      <x:c r="L15" t="str">
        <x:v>all_documents</x:v>
      </x:c>
      <x:c r="M15" s="24" t="n">
        <x:f>C15</x:f>
        <x:v>1</x:v>
      </x:c>
    </x:row>
    <x:row r="16">
      <x:c r="A16" s="45" t="str">
        <x:v>Overall</x:v>
      </x:c>
      <x:c r="B16" s="45" t="n">
        <x:f>SUM(B13:B15)</x:f>
        <x:v>60</x:v>
      </x:c>
      <x:c r="C16" s="46" t="n">
        <x:f>SUMPRODUCT(B13:B15,C13:C15)/B16</x:f>
        <x:v>0.9333333333333333</x:v>
      </x:c>
      <x:c r="D16" s="45" t="n">
        <x:f>SUM(D13:D15)</x:f>
        <x:v>20</x:v>
      </x:c>
      <x:c r="E16" s="45" t="n">
        <x:f>SUM(E13:E15)</x:f>
        <x:v>16</x:v>
      </x:c>
      <x:c r="F16" s="45" t="n">
        <x:f>SUM(F13:F15)</x:f>
        <x:v>24</x:v>
      </x:c>
      <x:c r="G16" s="45" t="n">
        <x:f>SUM(G13:G15)</x:f>
        <x:v>10</x:v>
      </x:c>
      <x:c r="H16" s="47" t="n">
        <x:f>AVERAGE(H13:H15)</x:f>
        <x:v>0.9833333333333334</x:v>
      </x:c>
      <x:c r="I16" s="47" t="n">
        <x:f>AVERAGE(I13:I15)</x:f>
        <x:v>0.43333333333333335</x:v>
      </x:c>
      <x:c r="J16" s="45" t="n">
        <x:f>SUM(J13:J15)</x:f>
        <x:v>419535</x:v>
      </x:c>
    </x:row>
    <x:row r="17">
      <x:c r="A17" s="35"/>
      <x:c r="B17" s="35"/>
      <x:c r="C17" s="35"/>
      <x:c r="D17" s="35"/>
      <x:c r="E17" s="35"/>
      <x:c r="F17" s="35"/>
      <x:c r="G17" s="35"/>
      <x:c r="H17" s="35"/>
      <x:c r="I17" s="35"/>
      <x:c r="J17" s="35"/>
    </x:row>
    <x:row r="18">
      <x:c r="A18" s="35"/>
      <x:c r="B18" s="35"/>
      <x:c r="C18" s="35"/>
      <x:c r="D18" s="35"/>
      <x:c r="E18" s="35"/>
      <x:c r="F18" s="35"/>
      <x:c r="G18" s="35"/>
      <x:c r="H18" s="35"/>
      <x:c r="I18" s="35"/>
      <x:c r="J18" s="35"/>
    </x:row>
    <x:row r="19">
      <x:c r="A19" s="35"/>
      <x:c r="B19" s="35"/>
      <x:c r="C19" s="35"/>
      <x:c r="D19" s="35"/>
      <x:c r="E19" s="35"/>
      <x:c r="F19" s="35"/>
      <x:c r="G19" s="35"/>
      <x:c r="H19" s="35"/>
      <x:c r="I19" s="35"/>
      <x:c r="J19" s="35"/>
    </x:row>
    <x:row r="20">
      <x:c r="A20" s="34" t="str">
        <x:v>Language</x:v>
      </x:c>
      <x:c r="B20" s="34" t="str">
        <x:v>Responses</x:v>
      </x:c>
      <x:c r="C20" s="34" t="str">
        <x:v>Avg Score</x:v>
      </x:c>
      <x:c r="D20" s="34" t="str">
        <x:v>Fully Correct</x:v>
      </x:c>
      <x:c r="E20" s="34" t="str">
        <x:v>Incorrect</x:v>
      </x:c>
      <x:c r="F20" s="34" t="str">
        <x:v>Refusals</x:v>
      </x:c>
      <x:c r="G20" s="34" t="str">
        <x:v>Unsupported</x:v>
      </x:c>
      <x:c r="H20" s="35"/>
      <x:c r="I20" s="35"/>
      <x:c r="J20" s="35"/>
    </x:row>
    <x:row r="21">
      <x:c r="A21" s="35" t="str">
        <x:v>ar</x:v>
      </x:c>
      <x:c r="B21" s="35" t="n">
        <x:f>COUNTIF('Scored Results'!$C$2:$C$61,A21)</x:f>
        <x:v>30</x:v>
      </x:c>
      <x:c r="C21" s="36" t="n">
        <x:f>SUMIF('Scored Results'!$C$2:$C$61,A21,'Scored Results'!$K$2:$K$61)/B21</x:f>
        <x:v>1.0333333333333334</x:v>
      </x:c>
      <x:c r="D21" s="35" t="n">
        <x:f>COUNTIFS('Scored Results'!$C$2:$C$61,A21,'Scored Results'!$K$2:$K$61,2)</x:f>
        <x:v>11</x:v>
      </x:c>
      <x:c r="E21" s="35" t="n">
        <x:f>COUNTIFS('Scored Results'!$C$2:$C$61,A21,'Scored Results'!$K$2:$K$61,0)</x:f>
        <x:v>10</x:v>
      </x:c>
      <x:c r="F21" s="35" t="n">
        <x:f>COUNTIFS('Scored Results'!$C$2:$C$61,A21,'Scored Results'!$L$2:$L$61,"yes")</x:f>
        <x:v>3</x:v>
      </x:c>
      <x:c r="G21" s="35" t="n">
        <x:f>COUNTIFS('Scored Results'!$C$2:$C$61,A21,'Scored Results'!$N$2:$N$61,"yes")</x:f>
        <x:v>14</x:v>
      </x:c>
      <x:c r="H21" s="35"/>
      <x:c r="I21" s="35"/>
      <x:c r="J21" s="35"/>
    </x:row>
    <x:row r="22">
      <x:c r="A22" s="35" t="str">
        <x:v>es</x:v>
      </x:c>
      <x:c r="B22" s="35" t="n">
        <x:f>COUNTIF('Scored Results'!$C$2:$C$61,A22)</x:f>
        <x:v>30</x:v>
      </x:c>
      <x:c r="C22" s="36" t="n">
        <x:f>SUMIF('Scored Results'!$C$2:$C$61,A22,'Scored Results'!$K$2:$K$61)/B22</x:f>
        <x:v>0.8333333333333334</x:v>
      </x:c>
      <x:c r="D22" s="35" t="n">
        <x:f>COUNTIFS('Scored Results'!$C$2:$C$61,A22,'Scored Results'!$K$2:$K$61,2)</x:f>
        <x:v>9</x:v>
      </x:c>
      <x:c r="E22" s="35" t="n">
        <x:f>COUNTIFS('Scored Results'!$C$2:$C$61,A22,'Scored Results'!$K$2:$K$61,0)</x:f>
        <x:v>14</x:v>
      </x:c>
      <x:c r="F22" s="35" t="n">
        <x:f>COUNTIFS('Scored Results'!$C$2:$C$61,A22,'Scored Results'!$L$2:$L$61,"yes")</x:f>
        <x:v>7</x:v>
      </x:c>
      <x:c r="G22" s="35" t="n">
        <x:f>COUNTIFS('Scored Results'!$C$2:$C$61,A22,'Scored Results'!$N$2:$N$61,"yes")</x:f>
        <x:v>12</x:v>
      </x:c>
      <x:c r="H22" s="35"/>
      <x:c r="I22" s="35"/>
      <x:c r="J22" s="35"/>
    </x:row>
    <x:row r="23">
      <x:c r="A23" s="45" t="str">
        <x:v>Overall</x:v>
      </x:c>
      <x:c r="B23" s="45" t="n">
        <x:f>SUM(B21:B22)</x:f>
        <x:v>60</x:v>
      </x:c>
      <x:c r="C23" s="46" t="n">
        <x:f>SUMPRODUCT(B21:B22,C21:C22)/B23</x:f>
        <x:v>0.9333333333333333</x:v>
      </x:c>
      <x:c r="D23" s="45" t="n">
        <x:f>SUM(D21:D22)</x:f>
        <x:v>20</x:v>
      </x:c>
      <x:c r="E23" s="45" t="n">
        <x:f>SUM(E21:E22)</x:f>
        <x:v>24</x:v>
      </x:c>
      <x:c r="F23" s="45" t="n">
        <x:f>SUM(F21:F22)</x:f>
        <x:v>10</x:v>
      </x:c>
      <x:c r="G23" s="45" t="n">
        <x:f>SUM(G21:G22)</x:f>
        <x:v>26</x:v>
      </x:c>
      <x:c r="H23" s="35"/>
      <x:c r="I23" s="35"/>
      <x:c r="J23" s="35"/>
    </x:row>
  </x:sheetData>
  <x:mergeCells>
    <x:mergeCell ref="A1:I1"/>
  </x:mergeCells>
  <x:pageMargins left="0.7" right="0.7" top="0.75" bottom="0.75" header="0.3" footer="0.3"/>
  <x:drawing xmlns:r="http://schemas.openxmlformats.org/officeDocument/2006/relationships" r:id="Rf5a567dfc3dd4700"/>
</x:worksheet>
</file>

<file path=xl/worksheets/sheet3.xml><?xml version="1.0" encoding="utf-8"?>
<x:worksheet xmlns:x="http://schemas.openxmlformats.org/spreadsheetml/2006/main">
  <x:sheetFormatPr defaultRowHeight="15"/>
  <x:cols>
    <x:col min="1" max="1" width="24" hidden="0" customWidth="1"/>
    <x:col min="2" max="2" width="12" hidden="0" customWidth="1"/>
    <x:col min="3" max="3" width="20" hidden="0" customWidth="1"/>
    <x:col min="4" max="4" width="70" hidden="0" customWidth="1"/>
  </x:cols>
  <x:sheetData>
    <x:row r="1">
      <x:c r="A1" s="19" t="str">
        <x:v>XRAG Manual Scoring Rubric</x:v>
      </x:c>
      <x:c r="B1" s="19"/>
      <x:c r="C1" s="19"/>
      <x:c r="D1" s="19"/>
    </x:row>
    <x:row r="3">
      <x:c r="A3" s="5" t="str">
        <x:v>Field</x:v>
      </x:c>
      <x:c r="B3" s="5" t="str">
        <x:v>Value</x:v>
      </x:c>
      <x:c r="C3" s="5" t="str">
        <x:v>Meaning</x:v>
      </x:c>
      <x:c r="D3" s="5" t="str">
        <x:v>Notes</x:v>
      </x:c>
    </x:row>
    <x:row r="4" ht="48" customHeight="1">
      <x:c r="A4" s="12" t="str">
        <x:v>correctness_score</x:v>
      </x:c>
      <x:c r="B4" s="12" t="str">
        <x:v>2</x:v>
      </x:c>
      <x:c r="C4" s="12" t="str">
        <x:v>Fully correct</x:v>
      </x:c>
      <x:c r="D4" s="12" t="str">
        <x:v>Contains all essential information from the gold answer. Minor wording differences are acceptable.</x:v>
      </x:c>
    </x:row>
    <x:row r="5" ht="48" customHeight="1">
      <x:c r="A5" s="12" t="str">
        <x:v>correctness_score</x:v>
      </x:c>
      <x:c r="B5" s="12" t="str">
        <x:v>1</x:v>
      </x:c>
      <x:c r="C5" s="12" t="str">
        <x:v>Partially correct</x:v>
      </x:c>
      <x:c r="D5" s="12" t="str">
        <x:v>Contains some correct information but misses an important detail, adds a meaningful error, or is too vague.</x:v>
      </x:c>
    </x:row>
    <x:row r="6" ht="48" customHeight="1">
      <x:c r="A6" s="12" t="str">
        <x:v>correctness_score</x:v>
      </x:c>
      <x:c r="B6" s="12" t="str">
        <x:v>0</x:v>
      </x:c>
      <x:c r="C6" s="12" t="str">
        <x:v>Incorrect</x:v>
      </x:c>
      <x:c r="D6" s="12" t="str">
        <x:v>Wrong answer, refusal, does not address the question, or provides no useful answer.</x:v>
      </x:c>
    </x:row>
    <x:row r="7" ht="48" customHeight="1">
      <x:c r="A7" s="12" t="str">
        <x:v>refusal</x:v>
      </x:c>
      <x:c r="B7" s="12" t="str">
        <x:v>yes</x:v>
      </x:c>
      <x:c r="C7" s="12" t="str">
        <x:v>Refused or avoided</x:v>
      </x:c>
      <x:c r="D7" s="12" t="str">
        <x:v>The model refuses or avoids answering the factual question.</x:v>
      </x:c>
    </x:row>
    <x:row r="8" ht="48" customHeight="1">
      <x:c r="A8" s="12" t="str">
        <x:v>refusal</x:v>
      </x:c>
      <x:c r="B8" s="12" t="str">
        <x:v>no</x:v>
      </x:c>
      <x:c r="C8" s="12" t="str">
        <x:v>Attempted answer</x:v>
      </x:c>
      <x:c r="D8" s="12" t="str">
        <x:v>The model makes a direct factual attempt.</x:v>
      </x:c>
    </x:row>
    <x:row r="9" ht="48" customHeight="1">
      <x:c r="A9" s="12" t="str">
        <x:v>correct_language</x:v>
      </x:c>
      <x:c r="B9" s="12" t="str">
        <x:v>yes</x:v>
      </x:c>
      <x:c r="C9" s="12" t="str">
        <x:v>Correct language</x:v>
      </x:c>
      <x:c r="D9" s="12" t="str">
        <x:v>Response is in the same language as the question.</x:v>
      </x:c>
    </x:row>
    <x:row r="10" ht="48" customHeight="1">
      <x:c r="A10" s="12" t="str">
        <x:v>correct_language</x:v>
      </x:c>
      <x:c r="B10" s="12" t="str">
        <x:v>no</x:v>
      </x:c>
      <x:c r="C10" s="12" t="str">
        <x:v>Language problem</x:v>
      </x:c>
      <x:c r="D10" s="12" t="str">
        <x:v>Response is primarily in another language or mixes languages enough to affect quality.</x:v>
      </x:c>
    </x:row>
    <x:row r="11" ht="48" customHeight="1">
      <x:c r="A11" s="12" t="str">
        <x:v>unsupported_information</x:v>
      </x:c>
      <x:c r="B11" s="12" t="str">
        <x:v>yes</x:v>
      </x:c>
      <x:c r="C11" s="12" t="str">
        <x:v>Unsupported additions</x:v>
      </x:c>
      <x:c r="D11" s="12" t="str">
        <x:v>Adds claims not supported by the gold answer or relevant retrieved documents.</x:v>
      </x:c>
    </x:row>
    <x:row r="12" ht="48" customHeight="1">
      <x:c r="A12" s="12" t="str">
        <x:v>unsupported_information</x:v>
      </x:c>
      <x:c r="B12" s="12" t="str">
        <x:v>no</x:v>
      </x:c>
      <x:c r="C12" s="12" t="str">
        <x:v>Supported</x:v>
      </x:c>
      <x:c r="D12" s="12" t="str">
        <x:v>Stays within supported facts.</x:v>
      </x:c>
    </x:row>
  </x:sheetData>
  <x:mergeCells>
    <x:mergeCell ref="A1:D1"/>
  </x:mergeCells>
  <x:pageMargins left="0.7" right="0.7" top="0.75" bottom="0.75" header="0.3" footer="0.3"/>
</x:worksheet>
</file>