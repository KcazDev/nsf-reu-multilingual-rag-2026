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59053198a142da" /></Relationships>
</file>

<file path=xl/workbook.xml><?xml version="1.0" encoding="utf-8"?>
<x:workbook xmlns:x="http://schemas.openxmlformats.org/spreadsheetml/2006/main">
  <x:sheets>
    <x:sheet xmlns:r="http://schemas.openxmlformats.org/officeDocument/2006/relationships" name="BM25 Review" sheetId="1" r:id="R1bb82cf7837f4438"/>
    <x:sheet xmlns:r="http://schemas.openxmlformats.org/officeDocument/2006/relationships" name="Summary" sheetId="2" r:id="R05d590c0147c4b44"/>
    <x:sheet xmlns:r="http://schemas.openxmlformats.org/officeDocument/2006/relationships" name="Scoring Guide" sheetId="3" r:id="Rd721b6be8c384a4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
    <x:numFmt numFmtId="202" formatCode="#,##0"/>
    <x:numFmt numFmtId="203" formatCode="0.0%"/>
  </x:numFmts>
  <x:fonts count="3">
    <x:font>
      <x:sz val="11"/>
      <x:name val="Carlito"/>
    </x:font>
    <x:font>
      <x:b/>
      <x:sz val="11"/>
      <x:color rgb="FFFFFFFF"/>
      <x:name val="Carlito"/>
    </x:font>
    <x:font>
      <x:b/>
      <x:sz val="18"/>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42">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203" fontId="0" fillId="0" borderId="0" xfId="0" applyNumberFormat="1" applyFont="1" applyFill="1" applyBorder="1"/>
    <x:xf numFmtId="203"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dxfs count="7">
    <x:dxf>
      <x:font>
        <x:b/>
        <x:color rgb="FF006100"/>
      </x:font>
      <x:fill>
        <x:patternFill patternType="solid">
          <x:bgColor rgb="FFC6EFCE"/>
        </x:patternFill>
      </x:fill>
    </x:dxf>
    <x:dxf>
      <x:font>
        <x:b/>
        <x:color rgb="FF9C6500"/>
      </x:font>
      <x:fill>
        <x:patternFill patternType="solid">
          <x:bgColor rgb="FFFFEB9C"/>
        </x:patternFill>
      </x:fill>
    </x:dxf>
    <x:dxf>
      <x:font>
        <x:b/>
        <x:color rgb="FF9C0006"/>
      </x:font>
      <x:fill>
        <x:patternFill patternType="solid">
          <x:bgColor rgb="FFFFC7CE"/>
        </x:patternFill>
      </x:fill>
    </x:dxf>
    <x:dxf>
      <x:fill>
        <x:patternFill patternType="solid">
          <x:bgColor rgb="FFE2F0D9"/>
        </x:patternFill>
      </x:fill>
    </x:dxf>
    <x:dxf>
      <x:fill>
        <x:patternFill patternType="solid">
          <x:bgColor rgb="FFFCE4D6"/>
        </x:patternFill>
      </x:fill>
    </x:dxf>
    <x:dxf>
      <x:font>
        <x:b/>
      </x:font>
      <x:fill>
        <x:patternFill patternType="solid">
          <x:bgColor rgb="FFF4B183"/>
        </x:patternFill>
      </x:fill>
    </x:dxf>
    <x:dxf>
      <x:font>
        <x:b/>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0d1f2ddd8943ab" /><Relationship Type="http://schemas.openxmlformats.org/officeDocument/2006/relationships/theme" Target="/xl/theme/theme1.xml" Id="R1537174c1f8c409f" /><Relationship Type="http://schemas.microsoft.com/office/2022/11/relationships/FeaturePropertyBag" Target="/xl/featurePropertyBag/featurePropertyBag.xml" Id="R92f908713a7346fe" /><Relationship Type="http://schemas.openxmlformats.org/officeDocument/2006/relationships/sharedStrings" Target="/xl/sharedStrings.xml" Id="Rd68c23898e4f4425" /><Relationship Type="http://schemas.openxmlformats.org/officeDocument/2006/relationships/worksheet" Target="/xl/worksheets/sheet1.xml" Id="R1bb82cf7837f4438" /><Relationship Type="http://schemas.openxmlformats.org/officeDocument/2006/relationships/worksheet" Target="/xl/worksheets/sheet2.xml" Id="R05d590c0147c4b44" /><Relationship Type="http://schemas.openxmlformats.org/officeDocument/2006/relationships/worksheet" Target="/xl/worksheets/sheet3.xml" Id="Rd721b6be8c384a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c843df272894ed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BM25 Top-2 Answer Scores</a:t>
            </a:r>
          </a:p>
        </c:rich>
      </c:tx>
      <c:overlay val="0"/>
    </c:title>
    <c:autoTitleDeleted val="0"/>
    <c:plotArea>
      <c:layout/>
      <c:barChart>
        <c:barDir val="col"/>
        <c:grouping val="clustered"/>
        <c:varyColors val="0"/>
        <c:ser>
          <c:idx val="0"/>
          <c:order val="0"/>
          <c:tx>
            <c:v>Count</c:v>
          </c:tx>
          <c:cat>
            <c:strRef>
              <c:f>'Summary'!$A$15:$A$17</c:f>
              <c:strCache>
                <c:ptCount val="0"/>
              </c:strCache>
            </c:strRef>
          </c:cat>
          <c:val>
            <c:numRef>
              <c:f>'Summary'!$B$15:$B$17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843df272894ed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M25ReviewTable" displayName="BM25ReviewTable" ref="A1:Y21" headerRowCount="1">
  <x:tableColumns count="25">
    <x:tableColumn id="1" name="example_number"/>
    <x:tableColumn id="2" name="xrag_id"/>
    <x:tableColumn id="3" name="language"/>
    <x:tableColumn id="4" name="task"/>
    <x:tableColumn id="5" name="question_type"/>
    <x:tableColumn id="6" name="crossdoc_type"/>
    <x:tableColumn id="7" name="condition"/>
    <x:tableColumn id="8" name="question"/>
    <x:tableColumn id="9" name="gold_answer"/>
    <x:tableColumn id="10" name="model_answer"/>
    <x:tableColumn id="11" name="selected_articles"/>
    <x:tableColumn id="12" name="true_support_articles"/>
    <x:tableColumn id="13" name="retrieval_precision_at_2"/>
    <x:tableColumn id="14" name="retrieval_recall_at_2"/>
    <x:tableColumn id="15" name="complete_support_at_2"/>
    <x:tableColumn id="16" name="word_count"/>
    <x:tableColumn id="17" name="over_35_words"/>
    <x:tableColumn id="18" name="correctness_score"/>
    <x:tableColumn id="19" name="refusal"/>
    <x:tableColumn id="20" name="correct_language"/>
    <x:tableColumn id="21" name="unsupported_information"/>
    <x:tableColumn id="22" name="primary_error_category"/>
    <x:tableColumn id="23" name="review_notes"/>
    <x:tableColumn id="24" name="input_tokens"/>
    <x:tableColumn id="25" name="output_token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b6ce0b76324b3c" /></Relationships>
</file>

<file path=xl/worksheets/_rels/sheet2.xml.rels>&#65279;<?xml version="1.0" encoding="utf-8"?><Relationships xmlns="http://schemas.openxmlformats.org/package/2006/relationships"><Relationship Type="http://schemas.openxmlformats.org/officeDocument/2006/relationships/drawing" Target="/xl/drawings/drawing1.xml" Id="R6ef7a5cac6b147cd" /></Relationships>
</file>

<file path=xl/worksheets/sheet1.xml><?xml version="1.0" encoding="utf-8"?>
<x:worksheet xmlns:x="http://schemas.openxmlformats.org/spreadsheetml/2006/main">
  <x:sheetFormatPr defaultRowHeight="15"/>
  <x:cols>
    <x:col min="1" max="1" width="9" hidden="0" customWidth="1"/>
    <x:col min="2" max="2" width="10" hidden="0" customWidth="1"/>
    <x:col min="3" max="3" width="9" hidden="0" customWidth="1"/>
    <x:col min="4" max="4" width="18" hidden="0" customWidth="1"/>
    <x:col min="5" max="5" width="16" hidden="0" customWidth="1"/>
    <x:col min="6" max="6" width="13" hidden="0" customWidth="1"/>
    <x:col min="7" max="7" width="15" hidden="0" customWidth="1"/>
    <x:col min="8" max="8" width="42" hidden="0" customWidth="1"/>
    <x:col min="9" max="9" width="48" hidden="0" customWidth="1"/>
    <x:col min="10" max="10" width="48" hidden="0" customWidth="1"/>
    <x:col min="11" max="11" width="14" hidden="0" customWidth="1"/>
    <x:col min="12" max="12" width="14" hidden="0" customWidth="1"/>
    <x:col min="13" max="13" width="14" hidden="0" customWidth="1"/>
    <x:col min="14" max="14" width="14" hidden="0" customWidth="1"/>
    <x:col min="15" max="15" width="16" hidden="0" customWidth="1"/>
    <x:col min="16" max="16" width="11" hidden="0" customWidth="1"/>
    <x:col min="17" max="17" width="13" hidden="0" customWidth="1"/>
    <x:col min="18" max="18" width="14" hidden="0" customWidth="1"/>
    <x:col min="19" max="19" width="14" hidden="0" customWidth="1"/>
    <x:col min="20" max="20" width="14" hidden="0" customWidth="1"/>
    <x:col min="21" max="21" width="14" hidden="0" customWidth="1"/>
    <x:col min="22" max="22" width="26" hidden="0" customWidth="1"/>
    <x:col min="23" max="23" width="48" hidden="0" customWidth="1"/>
    <x:col min="24" max="24" width="13" hidden="0" customWidth="1"/>
    <x:col min="25" max="25" width="13" hidden="0" customWidth="1"/>
  </x:cols>
  <x:sheetData>
    <x:row r="1" ht="34" customHeight="1">
      <x:c r="A1" s="8" t="str">
        <x:v>example_number</x:v>
      </x:c>
      <x:c r="B1" s="8" t="str">
        <x:v>xrag_id</x:v>
      </x:c>
      <x:c r="C1" s="8" t="str">
        <x:v>language</x:v>
      </x:c>
      <x:c r="D1" s="8" t="str">
        <x:v>task</x:v>
      </x:c>
      <x:c r="E1" s="8" t="str">
        <x:v>question_type</x:v>
      </x:c>
      <x:c r="F1" s="8" t="str">
        <x:v>crossdoc_type</x:v>
      </x:c>
      <x:c r="G1" s="8" t="str">
        <x:v>condition</x:v>
      </x:c>
      <x:c r="H1" s="8" t="str">
        <x:v>question</x:v>
      </x:c>
      <x:c r="I1" s="8" t="str">
        <x:v>gold_answer</x:v>
      </x:c>
      <x:c r="J1" s="8" t="str">
        <x:v>model_answer</x:v>
      </x:c>
      <x:c r="K1" s="8" t="str">
        <x:v>selected_articles</x:v>
      </x:c>
      <x:c r="L1" s="8" t="str">
        <x:v>true_support_articles</x:v>
      </x:c>
      <x:c r="M1" s="8" t="str">
        <x:v>retrieval_precision_at_2</x:v>
      </x:c>
      <x:c r="N1" s="8" t="str">
        <x:v>retrieval_recall_at_2</x:v>
      </x:c>
      <x:c r="O1" s="8" t="str">
        <x:v>complete_support_at_2</x:v>
      </x:c>
      <x:c r="P1" s="8" t="str">
        <x:v>word_count</x:v>
      </x:c>
      <x:c r="Q1" s="8" t="str">
        <x:v>over_35_words</x:v>
      </x:c>
      <x:c r="R1" s="8" t="str">
        <x:v>correctness_score</x:v>
      </x:c>
      <x:c r="S1" s="8" t="str">
        <x:v>refusal</x:v>
      </x:c>
      <x:c r="T1" s="8" t="str">
        <x:v>correct_language</x:v>
      </x:c>
      <x:c r="U1" s="8" t="str">
        <x:v>unsupported_information</x:v>
      </x:c>
      <x:c r="V1" s="8" t="str">
        <x:v>primary_error_category</x:v>
      </x:c>
      <x:c r="W1" s="8" t="str">
        <x:v>review_notes</x:v>
      </x:c>
      <x:c r="X1" s="8" t="str">
        <x:v>input_tokens</x:v>
      </x:c>
      <x:c r="Y1" s="8" t="str">
        <x:v>output_tokens</x:v>
      </x:c>
    </x:row>
    <x:row r="2" ht="70" customHeight="1">
      <x:c r="A2" s="14" t="n">
        <x:v>1</x:v>
      </x:c>
      <x:c r="B2" s="14" t="n">
        <x:v>114</x:v>
      </x:c>
      <x:c r="C2" s="14" t="str">
        <x:v>es</x:v>
      </x:c>
      <x:c r="D2" s="14" t="str">
        <x:v>mono_retrieval</x:v>
      </x:c>
      <x:c r="E2" s="14" t="str">
        <x:v>multihop</x:v>
      </x:c>
      <x:c r="F2" s="14" t="n">
        <x:v>1</x:v>
      </x:c>
      <x:c r="G2" s="14" t="str">
        <x:v>bm25_top2</x:v>
      </x:c>
      <x:c r="H2" s="18" t="str">
        <x:v>¿Qué objetivos militares puede atacar ahora Ucrania en Rusia a pesar de las restricciones estadounidenses sobre los ATACMS?</x:v>
      </x:c>
      <x:c r="I2" s="18" t="str">
        <x:v>Ucrania puede ahora atacar las defensas aéreas y los sistemas de misiles rusos dentro de Rusia, a pesar de las restricciones estadounidenses al uso de ATACMS.</x:v>
      </x:c>
      <x:c r="J2" s="18" t="str">
        <x:v>Según la noticia, ahora Ucrania puede atacar en Rusia defensas aéreas, aeronaves y otros sistemas militares que la atacan, especialmente en zonas fronterizas como Bélgorod, aunque no objetivos profundos con ATACMS.</x:v>
      </x:c>
      <x:c r="K2" s="14" t="str">
        <x:v>1,7</x:v>
      </x:c>
      <x:c r="L2" s="14" t="str">
        <x:v>1,2</x:v>
      </x:c>
      <x:c r="M2" s="20" t="n">
        <x:v>0.5</x:v>
      </x:c>
      <x:c r="N2" s="20" t="n">
        <x:v>0.5</x:v>
      </x:c>
      <x:c r="O2" s="15" t="b">
        <x:v>0</x:v>
      </x:c>
      <x:c r="P2" s="22" t="n">
        <x:v>31</x:v>
      </x:c>
      <x:c r="Q2" s="14" t="str">
        <x:v>no</x:v>
      </x:c>
      <x:c r="R2" s="22" t="n">
        <x:v>1</x:v>
      </x:c>
      <x:c r="S2" s="14" t="str">
        <x:v>no</x:v>
      </x:c>
      <x:c r="T2" s="14" t="str">
        <x:v>yes</x:v>
      </x:c>
      <x:c r="U2" s="14" t="str">
        <x:v>yes</x:v>
      </x:c>
      <x:c r="V2" s="18" t="str">
        <x:v>Incomplete answer</x:v>
      </x:c>
      <x:c r="W2" s="18" t="str">
        <x:v>Identified air defenses but omitted missile systems and added aircraft and border-area details from non-support evidence.</x:v>
      </x:c>
      <x:c r="X2" s="24" t="n">
        <x:v>3380</x:v>
      </x:c>
      <x:c r="Y2" s="24" t="n">
        <x:v>51</x:v>
      </x:c>
    </x:row>
    <x:row r="3" ht="70" customHeight="1">
      <x:c r="A3" s="14" t="n">
        <x:v>2</x:v>
      </x:c>
      <x:c r="B3" s="14" t="n">
        <x:v>156</x:v>
      </x:c>
      <x:c r="C3" s="14" t="str">
        <x:v>ar</x:v>
      </x:c>
      <x:c r="D3" s="14" t="str">
        <x:v>multi_retrieval</x:v>
      </x:c>
      <x:c r="E3" s="14" t="str">
        <x:v>set</x:v>
      </x:c>
      <x:c r="F3" s="14" t="n">
        <x:v>2</x:v>
      </x:c>
      <x:c r="G3" s="14" t="str">
        <x:v>bm25_top2</x:v>
      </x:c>
      <x:c r="H3" s="18" t="str">
        <x:v>ما المجموعات المتورطة في الصراعات في ميانمار والسودان؟</x:v>
      </x:c>
      <x:c r="I3" s="18"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3" s="18" t="str">
        <x:v>في ميانمار يدور الصراع بين المجلس العسكري وجيش أراكان وجماعات مسلحة مسلمة، وفي السودان بين القوات المسلحة السودانية وقوات الدعم السريع.</x:v>
      </x:c>
      <x:c r="K3" s="14" t="str">
        <x:v>1,2</x:v>
      </x:c>
      <x:c r="L3" s="14" t="str">
        <x:v>1,2</x:v>
      </x:c>
      <x:c r="M3" s="20" t="n">
        <x:v>1</x:v>
      </x:c>
      <x:c r="N3" s="20" t="n">
        <x:v>1</x:v>
      </x:c>
      <x:c r="O3" s="15" t="b">
        <x:v>1</x:v>
      </x:c>
      <x:c r="P3" s="22" t="n">
        <x:v>21</x:v>
      </x:c>
      <x:c r="Q3" s="14" t="str">
        <x:v>no</x:v>
      </x:c>
      <x:c r="R3" s="22" t="n">
        <x:v>2</x:v>
      </x:c>
      <x:c r="S3" s="14" t="str">
        <x:v>no</x:v>
      </x:c>
      <x:c r="T3" s="14" t="str">
        <x:v>yes</x:v>
      </x:c>
      <x:c r="U3" s="14" t="str">
        <x:v>no</x:v>
      </x:c>
      <x:c r="V3" s="18" t="str">
        <x:v>No error — fully correct</x:v>
      </x:c>
      <x:c r="W3" s="18" t="str">
        <x:v>Named the main Myanmar and Sudan conflict groups; the additional wording did not change the central answer.</x:v>
      </x:c>
      <x:c r="X3" s="24" t="n">
        <x:v>3279</x:v>
      </x:c>
      <x:c r="Y3" s="24" t="n">
        <x:v>41</x:v>
      </x:c>
    </x:row>
    <x:row r="4" ht="70" customHeight="1">
      <x:c r="A4" s="14" t="n">
        <x:v>3</x:v>
      </x:c>
      <x:c r="B4" s="14" t="n">
        <x:v>1119</x:v>
      </x:c>
      <x:c r="C4" s="14" t="str">
        <x:v>ar</x:v>
      </x:c>
      <x:c r="D4" s="14" t="str">
        <x:v>mono_retrieval</x:v>
      </x:c>
      <x:c r="E4" s="14" t="str">
        <x:v>set</x:v>
      </x:c>
      <x:c r="F4" s="14" t="n">
        <x:v>1</x:v>
      </x:c>
      <x:c r="G4" s="14" t="str">
        <x:v>bm25_top2</x:v>
      </x:c>
      <x:c r="H4" s="18" t="str">
        <x:v>ما الخصائص المرتبطة بجينيفر لوبيز وبن أفليك في عام 2023؟</x:v>
      </x:c>
      <x:c r="I4" s="18"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4" s="18" t="str">
        <x:v>في 2023 ارتبطت الشائعات بجينيفر لوبيز وبن أفليك بأن بن بدا «تعيسًا» في العلاقة، خصوصًا بسبب نفوره الظاهر من فعاليات السجادة الحمراء وتبادلٍ بدا محتدمًا التقطته الكاميرات.</x:v>
      </x:c>
      <x:c r="K4" s="14" t="str">
        <x:v>4,7</x:v>
      </x:c>
      <x:c r="L4" s="14" t="str">
        <x:v>1,2</x:v>
      </x:c>
      <x:c r="M4" s="20" t="n">
        <x:v>0</x:v>
      </x:c>
      <x:c r="N4" s="20" t="n">
        <x:v>0</x:v>
      </x:c>
      <x:c r="O4" s="15" t="b">
        <x:v>0</x:v>
      </x:c>
      <x:c r="P4" s="22" t="n">
        <x:v>27</x:v>
      </x:c>
      <x:c r="Q4" s="14" t="str">
        <x:v>no</x:v>
      </x:c>
      <x:c r="R4" s="22" t="n">
        <x:v>0</x:v>
      </x:c>
      <x:c r="S4" s="14" t="str">
        <x:v>no</x:v>
      </x:c>
      <x:c r="T4" s="14" t="str">
        <x:v>yes</x:v>
      </x:c>
      <x:c r="U4" s="14" t="str">
        <x:v>yes</x:v>
      </x:c>
      <x:c r="V4" s="18" t="str">
        <x:v>Distractor contamination</x:v>
      </x:c>
      <x:c r="W4" s="18" t="str">
        <x:v>Answered about relationship rumors instead of the Bel Air property and the couple's separate living arrangements.</x:v>
      </x:c>
      <x:c r="X4" s="24" t="n">
        <x:v>3427</x:v>
      </x:c>
      <x:c r="Y4" s="24" t="n">
        <x:v>65</x:v>
      </x:c>
    </x:row>
    <x:row r="5" ht="70" customHeight="1">
      <x:c r="A5" s="14" t="n">
        <x:v>4</x:v>
      </x:c>
      <x:c r="B5" s="14" t="n">
        <x:v>1037</x:v>
      </x:c>
      <x:c r="C5" s="14" t="str">
        <x:v>es</x:v>
      </x:c>
      <x:c r="D5" s="14" t="str">
        <x:v>mono_retrieval</x:v>
      </x:c>
      <x:c r="E5" s="14" t="str">
        <x:v>aggregation</x:v>
      </x:c>
      <x:c r="F5" s="14" t="n">
        <x:v>0</x:v>
      </x:c>
      <x:c r="G5" s="14" t="str">
        <x:v>bm25_top2</x:v>
      </x:c>
      <x:c r="H5" s="18" t="str">
        <x:v>¿A cuántos grupos arma Irán a pesar de su afiliación sunita?</x:v>
      </x:c>
      <x:c r="I5" s="18" t="str">
        <x:v>Irán arma a dos grupos a pesar de su afiliación sunita: Hamás y la Yihad Islámica.</x:v>
      </x:c>
      <x:c r="J5" s="18" t="str">
        <x:v>Según la noticia, Irán arma al menos a tres grupos suníes o de zonas suníes: Hamás en Palestina, facciones en Siria y los hutíes en Yemen.</x:v>
      </x:c>
      <x:c r="K5" s="14" t="str">
        <x:v>3,4</x:v>
      </x:c>
      <x:c r="L5" s="14" t="str">
        <x:v>2</x:v>
      </x:c>
      <x:c r="M5" s="20" t="n">
        <x:v>0</x:v>
      </x:c>
      <x:c r="N5" s="20" t="n">
        <x:v>0</x:v>
      </x:c>
      <x:c r="O5" s="15" t="b">
        <x:v>0</x:v>
      </x:c>
      <x:c r="P5" s="22" t="n">
        <x:v>26</x:v>
      </x:c>
      <x:c r="Q5" s="14" t="str">
        <x:v>no</x:v>
      </x:c>
      <x:c r="R5" s="22" t="n">
        <x:v>0</x:v>
      </x:c>
      <x:c r="S5" s="14" t="str">
        <x:v>no</x:v>
      </x:c>
      <x:c r="T5" s="14" t="str">
        <x:v>yes</x:v>
      </x:c>
      <x:c r="U5" s="14" t="str">
        <x:v>yes</x:v>
      </x:c>
      <x:c r="V5" s="18" t="str">
        <x:v>Wrong number or count</x:v>
      </x:c>
      <x:c r="W5" s="18" t="str">
        <x:v>Gave at least three groups and named the wrong set instead of two groups: Hamas and Islamic Jihad.</x:v>
      </x:c>
      <x:c r="X5" s="24" t="n">
        <x:v>3654</x:v>
      </x:c>
      <x:c r="Y5" s="24" t="n">
        <x:v>43</x:v>
      </x:c>
    </x:row>
    <x:row r="6" ht="70" customHeight="1">
      <x:c r="A6" s="14" t="n">
        <x:v>5</x:v>
      </x:c>
      <x:c r="B6" s="14" t="n">
        <x:v>1410</x:v>
      </x:c>
      <x:c r="C6" s="14" t="str">
        <x:v>es</x:v>
      </x:c>
      <x:c r="D6" s="14" t="str">
        <x:v>mono_retrieval</x:v>
      </x:c>
      <x:c r="E6" s="14" t="str">
        <x:v>aggregation</x:v>
      </x:c>
      <x:c r="F6" s="14" t="n">
        <x:v>0</x:v>
      </x:c>
      <x:c r="G6" s="14" t="str">
        <x:v>bm25_top2</x:v>
      </x:c>
      <x:c r="H6" s="18" t="str">
        <x:v>¿Cuáles son algunos de los problemas que se informaron durante las elecciones con respecto a la votación?</x:v>
      </x:c>
      <x:c r="I6" s="18" t="str">
        <x:v>Se informaron problemas con los requisitos de identificación de los votantes y errores en la votación por correo.</x:v>
      </x:c>
      <x:c r="J6" s="18" t="str">
        <x:v>Se informó de colas en los colegios electorales por la exigencia de identificación con foto, carteles erróneos en un centro de Glasgow sobre cómo votar y el fallo de un ayuntamiento al no enviar 2.600 votos postales.</x:v>
      </x:c>
      <x:c r="K6" s="14" t="str">
        <x:v>1,2</x:v>
      </x:c>
      <x:c r="L6" s="14" t="str">
        <x:v>1</x:v>
      </x:c>
      <x:c r="M6" s="20" t="n">
        <x:v>0.5</x:v>
      </x:c>
      <x:c r="N6" s="20" t="n">
        <x:v>1</x:v>
      </x:c>
      <x:c r="O6" s="15" t="b">
        <x:v>1</x:v>
      </x:c>
      <x:c r="P6" s="22" t="n">
        <x:v>37</x:v>
      </x:c>
      <x:c r="Q6" s="14" t="str">
        <x:v>yes</x:v>
      </x:c>
      <x:c r="R6" s="22" t="n">
        <x:v>2</x:v>
      </x:c>
      <x:c r="S6" s="14" t="str">
        <x:v>no</x:v>
      </x:c>
      <x:c r="T6" s="14" t="str">
        <x:v>yes</x:v>
      </x:c>
      <x:c r="U6" s="14" t="str">
        <x:v>no</x:v>
      </x:c>
      <x:c r="V6" s="18" t="str">
        <x:v>No error — fully correct</x:v>
      </x:c>
      <x:c r="W6" s="18" t="str">
        <x:v>Correctly identified voter photo-identification requirements and postal-voting errors; the response exceeded the 35-word limit.</x:v>
      </x:c>
      <x:c r="X6" s="24" t="n">
        <x:v>3901</x:v>
      </x:c>
      <x:c r="Y6" s="24" t="n">
        <x:v>54</x:v>
      </x:c>
    </x:row>
    <x:row r="7" ht="70" customHeight="1">
      <x:c r="A7" s="14" t="n">
        <x:v>6</x:v>
      </x:c>
      <x:c r="B7" s="14" t="n">
        <x:v>162</x:v>
      </x:c>
      <x:c r="C7" s="14" t="str">
        <x:v>es</x:v>
      </x:c>
      <x:c r="D7" s="14" t="str">
        <x:v>multi_retrieval</x:v>
      </x:c>
      <x:c r="E7" s="14" t="str">
        <x:v>aggregation</x:v>
      </x:c>
      <x:c r="F7" s="14" t="n">
        <x:v>0</x:v>
      </x:c>
      <x:c r="G7" s="14" t="str">
        <x:v>bm25_top2</x:v>
      </x:c>
      <x:c r="H7" s="18" t="str">
        <x:v>¿Cuántos incidentes aumentaron las tensiones en la península de Corea el 10 de mayo de 2023?</x:v>
      </x:c>
      <x:c r="I7" s="18" t="str">
        <x:v>Dos incidentes aumentaron las tensiones en la península de Corea el 10 de mayo de 2023: el lanzamiento de panfletos anti-Corea del Norte por parte de grupos de desertores de Corea del Sur y la represalia de Corea del Norte con globos llenos de basura.</x:v>
      </x:c>
      <x:c r="J7" s="18" t="str">
        <x:v>Según las informaciones retrospectivas, fueron dos incidentes los que elevaron las tensiones en la península de Corea ese 10 de mayo de 2023.</x:v>
      </x:c>
      <x:c r="K7" s="14" t="str">
        <x:v>2,7</x:v>
      </x:c>
      <x:c r="L7" s="14" t="str">
        <x:v>1</x:v>
      </x:c>
      <x:c r="M7" s="20" t="n">
        <x:v>0</x:v>
      </x:c>
      <x:c r="N7" s="20" t="n">
        <x:v>0</x:v>
      </x:c>
      <x:c r="O7" s="15" t="b">
        <x:v>0</x:v>
      </x:c>
      <x:c r="P7" s="22" t="n">
        <x:v>23</x:v>
      </x:c>
      <x:c r="Q7" s="14" t="str">
        <x:v>no</x:v>
      </x:c>
      <x:c r="R7" s="22" t="n">
        <x:v>2</x:v>
      </x:c>
      <x:c r="S7" s="14" t="str">
        <x:v>no</x:v>
      </x:c>
      <x:c r="T7" s="14" t="str">
        <x:v>yes</x:v>
      </x:c>
      <x:c r="U7" s="14" t="str">
        <x:v>no</x:v>
      </x:c>
      <x:c r="V7" s="18" t="str">
        <x:v>No error — fully correct</x:v>
      </x:c>
      <x:c r="W7" s="18" t="str">
        <x:v>Correctly answered that two incidents increased tensions; the question specifically requested the count.</x:v>
      </x:c>
      <x:c r="X7" s="24" t="n">
        <x:v>2787</x:v>
      </x:c>
      <x:c r="Y7" s="24" t="n">
        <x:v>38</x:v>
      </x:c>
    </x:row>
    <x:row r="8" ht="70" customHeight="1">
      <x:c r="A8" s="14" t="n">
        <x:v>7</x:v>
      </x:c>
      <x:c r="B8" s="14" t="n">
        <x:v>311</x:v>
      </x:c>
      <x:c r="C8" s="14" t="str">
        <x:v>ar</x:v>
      </x:c>
      <x:c r="D8" s="14" t="str">
        <x:v>mono_retrieval</x:v>
      </x:c>
      <x:c r="E8" s="14" t="str">
        <x:v>comparison</x:v>
      </x:c>
      <x:c r="F8" s="14" t="n">
        <x:v>0</x:v>
      </x:c>
      <x:c r="G8" s="14" t="str">
        <x:v>bm25_top2</x:v>
      </x:c>
      <x:c r="H8" s="18" t="str">
        <x:v>من أظهر دعما أكبر لكامالا هاريس، نشطاء حقوق الإجهاض أم الشخصيات السياسية مثل النائب جيمس كليبورن والسيناتور لافونزا بتلر؟</x:v>
      </x:c>
      <x:c r="I8" s="18" t="str">
        <x:v>أظهر نشطاء حقوق الإجهاض دعمًا أكبر لكامالا هاريس مقارنة بشخصيات سياسية مثل النائب جيمس كليبورن والسيناتور لافونزا بتلر.</x:v>
      </x:c>
      <x:c r="J8" s="18" t="str">
        <x:v>بحسب التغطية، الشخصيات السياسية مثل جيمس كليبورن ولافونزا بتلر أظهرت دعماً أوضح وأكبر لهاريس عبر طرحها بديلاً مناسباً لبايدن، بينما ذُكر فقط أنها اكتسبت بعض الشعبية بين نشطاء حقوق الإجهاض.</x:v>
      </x:c>
      <x:c r="K8" s="14" t="str">
        <x:v>1,2</x:v>
      </x:c>
      <x:c r="L8" s="14" t="str">
        <x:v>1</x:v>
      </x:c>
      <x:c r="M8" s="20" t="n">
        <x:v>0.5</x:v>
      </x:c>
      <x:c r="N8" s="20" t="n">
        <x:v>1</x:v>
      </x:c>
      <x:c r="O8" s="15" t="b">
        <x:v>1</x:v>
      </x:c>
      <x:c r="P8" s="22" t="n">
        <x:v>30</x:v>
      </x:c>
      <x:c r="Q8" s="14" t="str">
        <x:v>no</x:v>
      </x:c>
      <x:c r="R8" s="22" t="n">
        <x:v>0</x:v>
      </x:c>
      <x:c r="S8" s="14" t="str">
        <x:v>no</x:v>
      </x:c>
      <x:c r="T8" s="14" t="str">
        <x:v>yes</x:v>
      </x:c>
      <x:c r="U8" s="14" t="str">
        <x:v>yes</x:v>
      </x:c>
      <x:c r="V8" s="18" t="str">
        <x:v>Wrong central answer</x:v>
      </x:c>
      <x:c r="W8" s="18" t="str">
        <x:v>Reversed the comparison by claiming political figures showed greater support instead of abortion-rights activists.</x:v>
      </x:c>
      <x:c r="X8" s="24" t="n">
        <x:v>2975</x:v>
      </x:c>
      <x:c r="Y8" s="24" t="n">
        <x:v>70</x:v>
      </x:c>
    </x:row>
    <x:row r="9" ht="70" customHeight="1">
      <x:c r="A9" s="14" t="n">
        <x:v>8</x:v>
      </x:c>
      <x:c r="B9" s="14" t="n">
        <x:v>76</x:v>
      </x:c>
      <x:c r="C9" s="14" t="str">
        <x:v>es</x:v>
      </x:c>
      <x:c r="D9" s="14" t="str">
        <x:v>mono_retrieval</x:v>
      </x:c>
      <x:c r="E9" s="14" t="str">
        <x:v>comparison</x:v>
      </x:c>
      <x:c r="F9" s="14" t="n">
        <x:v>0</x:v>
      </x:c>
      <x:c r="G9" s="14" t="str">
        <x:v>bm25_top2</x:v>
      </x:c>
      <x:c r="H9" s="18" t="str">
        <x:v>¿Qué equipo juega contra Croacia el 15 de junio, España o Inglaterra?</x:v>
      </x:c>
      <x:c r="I9" s="18" t="str">
        <x:v>España</x:v>
      </x:c>
      <x:c r="J9" s="18" t="str">
        <x:v>España juega contra Croacia el 15 de junio.</x:v>
      </x:c>
      <x:c r="K9" s="14" t="str">
        <x:v>1,2</x:v>
      </x:c>
      <x:c r="L9" s="14" t="str">
        <x:v>1</x:v>
      </x:c>
      <x:c r="M9" s="20" t="n">
        <x:v>0.5</x:v>
      </x:c>
      <x:c r="N9" s="20" t="n">
        <x:v>1</x:v>
      </x:c>
      <x:c r="O9" s="15" t="b">
        <x:v>1</x:v>
      </x:c>
      <x:c r="P9" s="22" t="n">
        <x:v>8</x:v>
      </x:c>
      <x:c r="Q9" s="14" t="str">
        <x:v>no</x:v>
      </x:c>
      <x:c r="R9" s="22" t="n">
        <x:v>2</x:v>
      </x:c>
      <x:c r="S9" s="14" t="str">
        <x:v>no</x:v>
      </x:c>
      <x:c r="T9" s="14" t="str">
        <x:v>yes</x:v>
      </x:c>
      <x:c r="U9" s="14" t="str">
        <x:v>no</x:v>
      </x:c>
      <x:c r="V9" s="18" t="str">
        <x:v>No error — fully correct</x:v>
      </x:c>
      <x:c r="W9" s="18" t="str">
        <x:v>Correctly identified Spain as the team playing Croatia on June 15.</x:v>
      </x:c>
      <x:c r="X9" s="24" t="n">
        <x:v>3109</x:v>
      </x:c>
      <x:c r="Y9" s="24" t="n">
        <x:v>15</x:v>
      </x:c>
    </x:row>
    <x:row r="10" ht="70" customHeight="1">
      <x:c r="A10" s="14" t="n">
        <x:v>9</x:v>
      </x:c>
      <x:c r="B10" s="14" t="n">
        <x:v>181</x:v>
      </x:c>
      <x:c r="C10" s="14" t="str">
        <x:v>ar</x:v>
      </x:c>
      <x:c r="D10" s="14" t="str">
        <x:v>multi_retrieval</x:v>
      </x:c>
      <x:c r="E10" s="14" t="str">
        <x:v>comparison</x:v>
      </x:c>
      <x:c r="F10" s="14" t="n">
        <x:v>0</x:v>
      </x:c>
      <x:c r="G10" s="14" t="str">
        <x:v>bm25_top2</x:v>
      </x:c>
      <x:c r="H10" s="18" t="str">
        <x:v>هل فازت الصين أم فرنسا بعدد أكبر من الميداليات في أولمبياد باريس 2024؟</x:v>
      </x:c>
      <x:c r="I10" s="18" t="str">
        <x:v>فازت الصين بعدد من الميداليات يفوق ما فازت به فرنسا في أولمبياد باريس 2024.</x:v>
      </x:c>
      <x:c r="J10" s="18" t="str">
        <x:v>فازت الصين بعدد أكبر من الميداليات في أولمبياد باريس 2024، إذ حصدت 91 ميدالية مقابل 64 لفرنسا.</x:v>
      </x:c>
      <x:c r="K10" s="14" t="str">
        <x:v>2,8</x:v>
      </x:c>
      <x:c r="L10" s="14" t="str">
        <x:v>2</x:v>
      </x:c>
      <x:c r="M10" s="20" t="n">
        <x:v>0.5</x:v>
      </x:c>
      <x:c r="N10" s="20" t="n">
        <x:v>1</x:v>
      </x:c>
      <x:c r="O10" s="15" t="b">
        <x:v>1</x:v>
      </x:c>
      <x:c r="P10" s="22" t="n">
        <x:v>17</x:v>
      </x:c>
      <x:c r="Q10" s="14" t="str">
        <x:v>no</x:v>
      </x:c>
      <x:c r="R10" s="22" t="n">
        <x:v>2</x:v>
      </x:c>
      <x:c r="S10" s="14" t="str">
        <x:v>no</x:v>
      </x:c>
      <x:c r="T10" s="14" t="str">
        <x:v>yes</x:v>
      </x:c>
      <x:c r="U10" s="14" t="str">
        <x:v>no</x:v>
      </x:c>
      <x:c r="V10" s="18" t="str">
        <x:v>No error — fully correct</x:v>
      </x:c>
      <x:c r="W10" s="18" t="str">
        <x:v>Correctly identified China and provided medal totals consistent with the comparison.</x:v>
      </x:c>
      <x:c r="X10" s="24" t="n">
        <x:v>3723</x:v>
      </x:c>
      <x:c r="Y10" s="24" t="n">
        <x:v>42</x:v>
      </x:c>
    </x:row>
    <x:row r="11" ht="70" customHeight="1">
      <x:c r="A11" s="14" t="n">
        <x:v>10</x:v>
      </x:c>
      <x:c r="B11" s="14" t="n">
        <x:v>513</x:v>
      </x:c>
      <x:c r="C11" s="14" t="str">
        <x:v>es</x:v>
      </x:c>
      <x:c r="D11" s="14" t="str">
        <x:v>multi_retrieval</x:v>
      </x:c>
      <x:c r="E11" s="14" t="str">
        <x:v>comparison</x:v>
      </x:c>
      <x:c r="F11" s="14" t="n">
        <x:v>2</x:v>
      </x:c>
      <x:c r="G11" s="14" t="str">
        <x:v>bm25_top2</x:v>
      </x:c>
      <x:c r="H11" s="18" t="str">
        <x:v>¿Qué ataque causó más muertes: el ataque con buscapersonas o el ataque con dispositivos explosivos?</x:v>
      </x:c>
      <x:c r="I11" s="18" t="str">
        <x:v>El ataque con dispositivos explosivos causó más muertes, 24 personas fallecidas, en comparación con el ataque con buscapersonas, que causó al menos nueve muertes.</x:v>
      </x:c>
      <x:c r="J11" s="18" t="str">
        <x:v>Según los reportes, el ataque con dispositivos explosivos causó más muertes que el ataque con buscapersonas.</x:v>
      </x:c>
      <x:c r="K11" s="14" t="str">
        <x:v>2,1</x:v>
      </x:c>
      <x:c r="L11" s="14" t="str">
        <x:v>1,2</x:v>
      </x:c>
      <x:c r="M11" s="20" t="n">
        <x:v>1</x:v>
      </x:c>
      <x:c r="N11" s="20" t="n">
        <x:v>1</x:v>
      </x:c>
      <x:c r="O11" s="15" t="b">
        <x:v>1</x:v>
      </x:c>
      <x:c r="P11" s="22" t="n">
        <x:v>16</x:v>
      </x:c>
      <x:c r="Q11" s="14" t="str">
        <x:v>no</x:v>
      </x:c>
      <x:c r="R11" s="22" t="n">
        <x:v>2</x:v>
      </x:c>
      <x:c r="S11" s="14" t="str">
        <x:v>no</x:v>
      </x:c>
      <x:c r="T11" s="14" t="str">
        <x:v>yes</x:v>
      </x:c>
      <x:c r="U11" s="14" t="str">
        <x:v>no</x:v>
      </x:c>
      <x:c r="V11" s="18" t="str">
        <x:v>No error — fully correct</x:v>
      </x:c>
      <x:c r="W11" s="18" t="str">
        <x:v>Correctly identified the explosive-device attack as causing more deaths.</x:v>
      </x:c>
      <x:c r="X11" s="24" t="n">
        <x:v>3810</x:v>
      </x:c>
      <x:c r="Y11" s="24" t="n">
        <x:v>29</x:v>
      </x:c>
    </x:row>
    <x:row r="12" ht="70" customHeight="1">
      <x:c r="A12" s="14" t="n">
        <x:v>11</x:v>
      </x:c>
      <x:c r="B12" s="14" t="n">
        <x:v>58</x:v>
      </x:c>
      <x:c r="C12" s="14" t="str">
        <x:v>ar</x:v>
      </x:c>
      <x:c r="D12" s="14" t="str">
        <x:v>mono_retrieval</x:v>
      </x:c>
      <x:c r="E12" s="14" t="str">
        <x:v>set</x:v>
      </x:c>
      <x:c r="F12" s="14" t="n">
        <x:v>0</x:v>
      </x:c>
      <x:c r="G12" s="14" t="str">
        <x:v>bm25_top2</x:v>
      </x:c>
      <x:c r="H12" s="18" t="str">
        <x:v>من هم الحكام الذين أداروا أبرز المباريات النهائية في البطولات الدولية لكرة القدم؟</x:v>
      </x:c>
      <x:c r="I12" s="18"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12" s="18" t="str">
        <x:v>بحسب التقرير، من أبرزهم سيمون مارتشينياك الذي أدار نهائي كأس العالم 2022، ودانييلي أورساتو نصف نهائي المونديال، وفرانسوا لوتيكسييه وسلافكو فينتشيتش ومايكل أوليفر وأنطوني تايلور في نهائيات أوروبية كبرى.</x:v>
      </x:c>
      <x:c r="K12" s="14" t="str">
        <x:v>1,2</x:v>
      </x:c>
      <x:c r="L12" s="14" t="str">
        <x:v>1</x:v>
      </x:c>
      <x:c r="M12" s="20" t="n">
        <x:v>0.5</x:v>
      </x:c>
      <x:c r="N12" s="20" t="n">
        <x:v>1</x:v>
      </x:c>
      <x:c r="O12" s="15" t="b">
        <x:v>1</x:v>
      </x:c>
      <x:c r="P12" s="22" t="n">
        <x:v>29</x:v>
      </x:c>
      <x:c r="Q12" s="14" t="str">
        <x:v>no</x:v>
      </x:c>
      <x:c r="R12" s="22" t="n">
        <x:v>1</x:v>
      </x:c>
      <x:c r="S12" s="14" t="str">
        <x:v>no</x:v>
      </x:c>
      <x:c r="T12" s="14" t="str">
        <x:v>yes</x:v>
      </x:c>
      <x:c r="U12" s="14" t="str">
        <x:v>yes</x:v>
      </x:c>
      <x:c r="V12" s="18" t="str">
        <x:v>Incomplete answer</x:v>
      </x:c>
      <x:c r="W12" s="18" t="str">
        <x:v>Correctly named Szymon Marciniak but omitted Clement Turpin and added several other referees.</x:v>
      </x:c>
      <x:c r="X12" s="24" t="n">
        <x:v>3365</x:v>
      </x:c>
      <x:c r="Y12" s="24" t="n">
        <x:v>82</x:v>
      </x:c>
    </x:row>
    <x:row r="13" ht="70" customHeight="1">
      <x:c r="A13" s="14" t="n">
        <x:v>12</x:v>
      </x:c>
      <x:c r="B13" s="14" t="n">
        <x:v>1556</x:v>
      </x:c>
      <x:c r="C13" s="14" t="str">
        <x:v>ar</x:v>
      </x:c>
      <x:c r="D13" s="14" t="str">
        <x:v>mono_retrieval</x:v>
      </x:c>
      <x:c r="E13" s="14" t="str">
        <x:v>set</x:v>
      </x:c>
      <x:c r="F13" s="14" t="n">
        <x:v>0</x:v>
      </x:c>
      <x:c r="G13" s="14" t="str">
        <x:v>bm25_top2</x:v>
      </x:c>
      <x:c r="H13" s="18" t="str">
        <x:v>ما الرموز التي تم استبدالها على تمثال الوطن الأم في كييف بأوكرانيا؟</x:v>
      </x:c>
      <x:c r="I13" s="18" t="str">
        <x:v>استبدلت أوكرانيا المطرقة والمنجل السوفييتيين على تمثال الوطن الأم في كييف بشعار النبالة الأوكراني ذي الرؤوس الثلاثة</x:v>
      </x:c>
      <x:c r="J13" s="18" t="str">
        <x:v>استُبدل رمز المطرقة والمنجل السوفيتي على درع تمثال الوطن الأم في كييف بشعار أوكرانيا الثلاثي الشعب، أي الترايدنت.</x:v>
      </x:c>
      <x:c r="K13" s="14" t="str">
        <x:v>1,2</x:v>
      </x:c>
      <x:c r="L13" s="14" t="str">
        <x:v>2</x:v>
      </x:c>
      <x:c r="M13" s="20" t="n">
        <x:v>0.5</x:v>
      </x:c>
      <x:c r="N13" s="20" t="n">
        <x:v>1</x:v>
      </x:c>
      <x:c r="O13" s="15" t="b">
        <x:v>1</x:v>
      </x:c>
      <x:c r="P13" s="22" t="n">
        <x:v>18</x:v>
      </x:c>
      <x:c r="Q13" s="14" t="str">
        <x:v>no</x:v>
      </x:c>
      <x:c r="R13" s="22" t="n">
        <x:v>2</x:v>
      </x:c>
      <x:c r="S13" s="14" t="str">
        <x:v>no</x:v>
      </x:c>
      <x:c r="T13" s="14" t="str">
        <x:v>yes</x:v>
      </x:c>
      <x:c r="U13" s="14" t="str">
        <x:v>no</x:v>
      </x:c>
      <x:c r="V13" s="18" t="str">
        <x:v>No error — fully correct</x:v>
      </x:c>
      <x:c r="W13" s="18" t="str">
        <x:v>Correctly identified the Soviet hammer and sickle as being replaced by the Ukrainian trident.</x:v>
      </x:c>
      <x:c r="X13" s="24" t="n">
        <x:v>2790</x:v>
      </x:c>
      <x:c r="Y13" s="24" t="n">
        <x:v>40</x:v>
      </x:c>
    </x:row>
    <x:row r="14" ht="70" customHeight="1">
      <x:c r="A14" s="14" t="n">
        <x:v>13</x:v>
      </x:c>
      <x:c r="B14" s="14" t="n">
        <x:v>342</x:v>
      </x:c>
      <x:c r="C14" s="14" t="str">
        <x:v>ar</x:v>
      </x:c>
      <x:c r="D14" s="14" t="str">
        <x:v>mono_retrieval</x:v>
      </x:c>
      <x:c r="E14" s="14" t="str">
        <x:v>aggregation</x:v>
      </x:c>
      <x:c r="F14" s="14" t="n">
        <x:v>1</x:v>
      </x:c>
      <x:c r="G14" s="14" t="str">
        <x:v>bm25_top2</x:v>
      </x:c>
      <x:c r="H14" s="18" t="str">
        <x:v>كم عدد القصص في الموسم الثالث من مسلسل "بريدجيرتون" التي أثارت ردود فعل متباينة بين المعجبين؟</x:v>
      </x:c>
      <x:c r="I14" s="18" t="str">
        <x:v>أثارت قصتان في الموسم الثالث من مسلسل "بريدجيرتون" ردود فعل متباينة بين المعجبين.</x:v>
      </x:c>
      <x:c r="J14" s="18" t="str">
        <x:v>بحسب التغطية، أثارت قصتان في الموسم الثالث ردود فعل متباينة بين المعجبين: قصة حب بينيلوبي وكولين، وتغيير جنس شخصية حب فرانشيسكا المستقبلية.</x:v>
      </x:c>
      <x:c r="K14" s="14" t="str">
        <x:v>1,2</x:v>
      </x:c>
      <x:c r="L14" s="14" t="str">
        <x:v>1,2</x:v>
      </x:c>
      <x:c r="M14" s="20" t="n">
        <x:v>1</x:v>
      </x:c>
      <x:c r="N14" s="20" t="n">
        <x:v>1</x:v>
      </x:c>
      <x:c r="O14" s="15" t="b">
        <x:v>1</x:v>
      </x:c>
      <x:c r="P14" s="22" t="n">
        <x:v>22</x:v>
      </x:c>
      <x:c r="Q14" s="14" t="str">
        <x:v>no</x:v>
      </x:c>
      <x:c r="R14" s="22" t="n">
        <x:v>2</x:v>
      </x:c>
      <x:c r="S14" s="14" t="str">
        <x:v>no</x:v>
      </x:c>
      <x:c r="T14" s="14" t="str">
        <x:v>yes</x:v>
      </x:c>
      <x:c r="U14" s="14" t="str">
        <x:v>no</x:v>
      </x:c>
      <x:c r="V14" s="18" t="str">
        <x:v>No error — fully correct</x:v>
      </x:c>
      <x:c r="W14" s="18" t="str">
        <x:v>Correctly answered two stories and identified both disputed storylines.</x:v>
      </x:c>
      <x:c r="X14" s="24" t="n">
        <x:v>5683</x:v>
      </x:c>
      <x:c r="Y14" s="24" t="n">
        <x:v>48</x:v>
      </x:c>
    </x:row>
    <x:row r="15" ht="70" customHeight="1">
      <x:c r="A15" s="14" t="n">
        <x:v>14</x:v>
      </x:c>
      <x:c r="B15" s="14" t="n">
        <x:v>52</x:v>
      </x:c>
      <x:c r="C15" s="14" t="str">
        <x:v>ar</x:v>
      </x:c>
      <x:c r="D15" s="14" t="str">
        <x:v>multi_retrieval</x:v>
      </x:c>
      <x:c r="E15" s="14" t="str">
        <x:v>comparison</x:v>
      </x:c>
      <x:c r="F15" s="14" t="n">
        <x:v>2</x:v>
      </x:c>
      <x:c r="G15" s="14" t="str">
        <x:v>bm25_top2</x:v>
      </x:c>
      <x:c r="H15" s="18" t="str">
        <x:v>أي الحدثين وقع أولاً، اغتيال زعيم حماس إسماعيل هنية أم توقيع إعلان بكين؟</x:v>
      </x:c>
      <x:c r="I15" s="18" t="str">
        <x:v>وُقع على إعلان بكين (23 يوليو) أولاً.</x:v>
      </x:c>
      <x:c r="J15" s="18" t="str">
        <x:v>وقع توقيع إعلان بكين أولاً في 23 يوليو 2024، بينما جاء اغتيال إسماعيل هنية لاحقاً.</x:v>
      </x:c>
      <x:c r="K15" s="14" t="str">
        <x:v>2,7</x:v>
      </x:c>
      <x:c r="L15" s="14" t="str">
        <x:v>1,2</x:v>
      </x:c>
      <x:c r="M15" s="20" t="n">
        <x:v>0.5</x:v>
      </x:c>
      <x:c r="N15" s="20" t="n">
        <x:v>0.5</x:v>
      </x:c>
      <x:c r="O15" s="15" t="b">
        <x:v>0</x:v>
      </x:c>
      <x:c r="P15" s="22" t="n">
        <x:v>15</x:v>
      </x:c>
      <x:c r="Q15" s="14" t="str">
        <x:v>no</x:v>
      </x:c>
      <x:c r="R15" s="22" t="n">
        <x:v>2</x:v>
      </x:c>
      <x:c r="S15" s="14" t="str">
        <x:v>no</x:v>
      </x:c>
      <x:c r="T15" s="14" t="str">
        <x:v>yes</x:v>
      </x:c>
      <x:c r="U15" s="14" t="str">
        <x:v>no</x:v>
      </x:c>
      <x:c r="V15" s="18" t="str">
        <x:v>No error — fully correct</x:v>
      </x:c>
      <x:c r="W15" s="18" t="str">
        <x:v>Correctly stated that the Beijing Declaration was signed before Ismail Haniyeh's assassination.</x:v>
      </x:c>
      <x:c r="X15" s="24" t="n">
        <x:v>3358</x:v>
      </x:c>
      <x:c r="Y15" s="24" t="n">
        <x:v>34</x:v>
      </x:c>
    </x:row>
    <x:row r="16" ht="70" customHeight="1">
      <x:c r="A16" s="14" t="n">
        <x:v>15</x:v>
      </x:c>
      <x:c r="B16" s="14" t="n">
        <x:v>160</x:v>
      </x:c>
      <x:c r="C16" s="14" t="str">
        <x:v>es</x:v>
      </x:c>
      <x:c r="D16" s="14" t="str">
        <x:v>multi_retrieval</x:v>
      </x:c>
      <x:c r="E16" s="14" t="str">
        <x:v>comparison</x:v>
      </x:c>
      <x:c r="F16" s="14" t="n">
        <x:v>0</x:v>
      </x:c>
      <x:c r="G16" s="14" t="str">
        <x:v>bm25_top2</x:v>
      </x:c>
      <x:c r="H16" s="18" t="str">
        <x:v>¿Qué acuerdo entre Rusia y Corea del Norte incluye más áreas, la asociación integral o el pacto de asistencia mutua en caso de agresión?</x:v>
      </x:c>
      <x:c r="I16" s="18"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16" s="18" t="str">
        <x:v>La asociación integral incluye más áreas, mientras que el pacto de asistencia mutua se centra específicamente en protegerse y responder juntos en caso de agresión.</x:v>
      </x:c>
      <x:c r="K16" s="14" t="str">
        <x:v>2,7</x:v>
      </x:c>
      <x:c r="L16" s="14" t="str">
        <x:v>1</x:v>
      </x:c>
      <x:c r="M16" s="20" t="n">
        <x:v>0</x:v>
      </x:c>
      <x:c r="N16" s="20" t="n">
        <x:v>0</x:v>
      </x:c>
      <x:c r="O16" s="15" t="b">
        <x:v>0</x:v>
      </x:c>
      <x:c r="P16" s="22" t="n">
        <x:v>25</x:v>
      </x:c>
      <x:c r="Q16" s="14" t="str">
        <x:v>no</x:v>
      </x:c>
      <x:c r="R16" s="22" t="n">
        <x:v>2</x:v>
      </x:c>
      <x:c r="S16" s="14" t="str">
        <x:v>no</x:v>
      </x:c>
      <x:c r="T16" s="14" t="str">
        <x:v>yes</x:v>
      </x:c>
      <x:c r="U16" s="14" t="str">
        <x:v>no</x:v>
      </x:c>
      <x:c r="V16" s="18" t="str">
        <x:v>No error — fully correct</x:v>
      </x:c>
      <x:c r="W16" s="18" t="str">
        <x:v>Correctly identified the comprehensive partnership as covering more areas than the mutual-assistance pact.</x:v>
      </x:c>
      <x:c r="X16" s="24" t="n">
        <x:v>3103</x:v>
      </x:c>
      <x:c r="Y16" s="24" t="n">
        <x:v>34</x:v>
      </x:c>
    </x:row>
    <x:row r="17" ht="70" customHeight="1">
      <x:c r="A17" s="14" t="n">
        <x:v>16</x:v>
      </x:c>
      <x:c r="B17" s="14" t="n">
        <x:v>118</x:v>
      </x:c>
      <x:c r="C17" s="14" t="str">
        <x:v>ar</x:v>
      </x:c>
      <x:c r="D17" s="14" t="str">
        <x:v>multi_retrieval</x:v>
      </x:c>
      <x:c r="E17" s="14" t="str">
        <x:v>set</x:v>
      </x:c>
      <x:c r="F17" s="14" t="n">
        <x:v>1</x:v>
      </x:c>
      <x:c r="G17" s="14" t="str">
        <x:v>bm25_top2</x:v>
      </x:c>
      <x:c r="H17" s="18" t="str">
        <x:v>من القادة المشاركون في محادثات وقف إطلاق النار مع إسرائيل في النزاعات الأخيرة؟</x:v>
      </x:c>
      <x:c r="I17" s="18"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17" s="18" t="str">
        <x:v>بحسب التغطية الإخبارية، شارك في محادثات وقف إطلاق النار قادة ووسطاء مثل الرئيس الأمريكي جو بايدن، ورئيس الوزراء الإسرائيلي بنيامين نتنياهو، وقيادات حماس، بوساطة مصر وقطر والولايات المتحدة.</x:v>
      </x:c>
      <x:c r="K17" s="14" t="str">
        <x:v>2,6</x:v>
      </x:c>
      <x:c r="L17" s="14" t="str">
        <x:v>1,2</x:v>
      </x:c>
      <x:c r="M17" s="20" t="n">
        <x:v>0.5</x:v>
      </x:c>
      <x:c r="N17" s="20" t="n">
        <x:v>0.5</x:v>
      </x:c>
      <x:c r="O17" s="15" t="b">
        <x:v>0</x:v>
      </x:c>
      <x:c r="P17" s="22" t="n">
        <x:v>28</x:v>
      </x:c>
      <x:c r="Q17" s="14" t="str">
        <x:v>no</x:v>
      </x:c>
      <x:c r="R17" s="22" t="n">
        <x:v>2</x:v>
      </x:c>
      <x:c r="S17" s="14" t="str">
        <x:v>no</x:v>
      </x:c>
      <x:c r="T17" s="14" t="str">
        <x:v>yes</x:v>
      </x:c>
      <x:c r="U17" s="14" t="str">
        <x:v>no</x:v>
      </x:c>
      <x:c r="V17" s="18" t="str">
        <x:v>No error — fully correct</x:v>
      </x:c>
      <x:c r="W17" s="18" t="str">
        <x:v>Correctly named Joe Biden and Benjamin Netanyahu; the additional participants did not change the central answer.</x:v>
      </x:c>
      <x:c r="X17" s="24" t="n">
        <x:v>3265</x:v>
      </x:c>
      <x:c r="Y17" s="24" t="n">
        <x:v>61</x:v>
      </x:c>
    </x:row>
    <x:row r="18" ht="70" customHeight="1">
      <x:c r="A18" s="14" t="n">
        <x:v>17</x:v>
      </x:c>
      <x:c r="B18" s="14" t="n">
        <x:v>47</x:v>
      </x:c>
      <x:c r="C18" s="14" t="str">
        <x:v>es</x:v>
      </x:c>
      <x:c r="D18" s="14" t="str">
        <x:v>mono_retrieval</x:v>
      </x:c>
      <x:c r="E18" s="14" t="str">
        <x:v>comparison</x:v>
      </x:c>
      <x:c r="F18" s="14" t="n">
        <x:v>1</x:v>
      </x:c>
      <x:c r="G18" s="14" t="str">
        <x:v>bm25_top2</x:v>
      </x:c>
      <x:c r="H18" s="18" t="str">
        <x:v>¿Qué acusación contra Billy Ray Cyrus es más grave, abuso psicológico o el uso indebido de sustancias?</x:v>
      </x:c>
      <x:c r="I18" s="18" t="str">
        <x:v>El abuso psicológico es más grave que el uso indebido de sustancias en las acusaciones contra Billy Ray Cyrus.</x:v>
      </x:c>
      <x:c r="J18" s="18" t="str">
        <x:v>Según el reportaje, la acusación más grave contra Billy Ray Cyrus es el abuso psicológico, respaldado por un audio de insultos y humillaciones, mientras que el uso indebido de sustancias aparece solo como una alegación en documentos judiciales.</x:v>
      </x:c>
      <x:c r="K18" s="14" t="str">
        <x:v>8,5</x:v>
      </x:c>
      <x:c r="L18" s="14" t="str">
        <x:v>1,2</x:v>
      </x:c>
      <x:c r="M18" s="20" t="n">
        <x:v>0</x:v>
      </x:c>
      <x:c r="N18" s="20" t="n">
        <x:v>0</x:v>
      </x:c>
      <x:c r="O18" s="15" t="b">
        <x:v>0</x:v>
      </x:c>
      <x:c r="P18" s="22" t="n">
        <x:v>38</x:v>
      </x:c>
      <x:c r="Q18" s="14" t="str">
        <x:v>yes</x:v>
      </x:c>
      <x:c r="R18" s="22" t="n">
        <x:v>2</x:v>
      </x:c>
      <x:c r="S18" s="14" t="str">
        <x:v>no</x:v>
      </x:c>
      <x:c r="T18" s="14" t="str">
        <x:v>yes</x:v>
      </x:c>
      <x:c r="U18" s="14" t="str">
        <x:v>no</x:v>
      </x:c>
      <x:c r="V18" s="18" t="str">
        <x:v>No error — fully correct</x:v>
      </x:c>
      <x:c r="W18" s="18" t="str">
        <x:v>Correctly identified psychological abuse as the more serious allegation; the response exceeded the 35-word limit.</x:v>
      </x:c>
      <x:c r="X18" s="24" t="n">
        <x:v>3506</x:v>
      </x:c>
      <x:c r="Y18" s="24" t="n">
        <x:v>55</x:v>
      </x:c>
    </x:row>
    <x:row r="19" ht="70" customHeight="1">
      <x:c r="A19" s="14" t="n">
        <x:v>18</x:v>
      </x:c>
      <x:c r="B19" s="14" t="n">
        <x:v>31</x:v>
      </x:c>
      <x:c r="C19" s="14" t="str">
        <x:v>es</x:v>
      </x:c>
      <x:c r="D19" s="14" t="str">
        <x:v>multi_retrieval</x:v>
      </x:c>
      <x:c r="E19" s="14" t="str">
        <x:v>comparison</x:v>
      </x:c>
      <x:c r="F19" s="14" t="n">
        <x:v>2</x:v>
      </x:c>
      <x:c r="G19" s="14" t="str">
        <x:v>bm25_top2</x:v>
      </x:c>
      <x:c r="H19" s="18" t="str">
        <x:v>¿Qué acontecimiento ocurrió primero: la intervención de Hezbolá contra Israel o la advertencia de la ONU sobre la escalada del conflicto?</x:v>
      </x:c>
      <x:c r="I19" s="18" t="str">
        <x:v>La intervención de Hezbolá contra Israel ocurrió primero.</x:v>
      </x:c>
      <x:c r="J19" s="18" t="str">
        <x:v>Ocurrió primero la intervención limitada de Hezbolá contra Israel, que comenzó el 8 de octubre de 2023; la advertencia de la ONU sobre la escalada vino después.</x:v>
      </x:c>
      <x:c r="K19" s="14" t="str">
        <x:v>2,6</x:v>
      </x:c>
      <x:c r="L19" s="14" t="str">
        <x:v>1,2</x:v>
      </x:c>
      <x:c r="M19" s="20" t="n">
        <x:v>0.5</x:v>
      </x:c>
      <x:c r="N19" s="20" t="n">
        <x:v>0.5</x:v>
      </x:c>
      <x:c r="O19" s="15" t="b">
        <x:v>0</x:v>
      </x:c>
      <x:c r="P19" s="22" t="n">
        <x:v>27</x:v>
      </x:c>
      <x:c r="Q19" s="14" t="str">
        <x:v>no</x:v>
      </x:c>
      <x:c r="R19" s="22" t="n">
        <x:v>2</x:v>
      </x:c>
      <x:c r="S19" s="14" t="str">
        <x:v>no</x:v>
      </x:c>
      <x:c r="T19" s="14" t="str">
        <x:v>yes</x:v>
      </x:c>
      <x:c r="U19" s="14" t="str">
        <x:v>no</x:v>
      </x:c>
      <x:c r="V19" s="18" t="str">
        <x:v>No error — fully correct</x:v>
      </x:c>
      <x:c r="W19" s="18" t="str">
        <x:v>Correctly stated that Hezbollah's intervention occurred before the United Nations warning.</x:v>
      </x:c>
      <x:c r="X19" s="24" t="n">
        <x:v>4487</x:v>
      </x:c>
      <x:c r="Y19" s="24" t="n">
        <x:v>44</x:v>
      </x:c>
    </x:row>
    <x:row r="20" ht="70" customHeight="1">
      <x:c r="A20" s="14" t="n">
        <x:v>19</x:v>
      </x:c>
      <x:c r="B20" s="14" t="n">
        <x:v>180</x:v>
      </x:c>
      <x:c r="C20" s="14" t="str">
        <x:v>ar</x:v>
      </x:c>
      <x:c r="D20" s="14" t="str">
        <x:v>multi_retrieval</x:v>
      </x:c>
      <x:c r="E20" s="14" t="str">
        <x:v>aggregation</x:v>
      </x:c>
      <x:c r="F20" s="14" t="n">
        <x:v>0</x:v>
      </x:c>
      <x:c r="G20" s="14" t="str">
        <x:v>bm25_top2</x:v>
      </x:c>
      <x:c r="H20" s="18" t="str">
        <x:v>كم عدد الميداليات الإجمالية التي حصلت عليها فرنسا في أولمبياد باريس 2024 بما في ذلك ذهبية نيكولاس جيستين في سباق الكانو الفردي للرجال؟</x:v>
      </x:c>
      <x:c r="I20" s="18" t="str">
        <x:v>64 ميدالية</x:v>
      </x:c>
      <x:c r="J20" s="18" t="str">
        <x:v>حصلت فرنسا على 64 ميدالية إجمالًا في أولمبياد باريس 2024، منها 16 ذهبية و26 فضية و22 برونزية، بما في ذلك ذهبية نيكولاس جيستين في سباق الكانو الفردي للرجال.</x:v>
      </x:c>
      <x:c r="K20" s="14" t="str">
        <x:v>2,7</x:v>
      </x:c>
      <x:c r="L20" s="14" t="str">
        <x:v>2</x:v>
      </x:c>
      <x:c r="M20" s="20" t="n">
        <x:v>0.5</x:v>
      </x:c>
      <x:c r="N20" s="20" t="n">
        <x:v>1</x:v>
      </x:c>
      <x:c r="O20" s="15" t="b">
        <x:v>1</x:v>
      </x:c>
      <x:c r="P20" s="22" t="n">
        <x:v>28</x:v>
      </x:c>
      <x:c r="Q20" s="14" t="str">
        <x:v>no</x:v>
      </x:c>
      <x:c r="R20" s="22" t="n">
        <x:v>2</x:v>
      </x:c>
      <x:c r="S20" s="14" t="str">
        <x:v>no</x:v>
      </x:c>
      <x:c r="T20" s="14" t="str">
        <x:v>yes</x:v>
      </x:c>
      <x:c r="U20" s="14" t="str">
        <x:v>no</x:v>
      </x:c>
      <x:c r="V20" s="18" t="str">
        <x:v>No error — fully correct</x:v>
      </x:c>
      <x:c r="W20" s="18" t="str">
        <x:v>Correctly answered 64 medals and supplied a consistent medal breakdown.</x:v>
      </x:c>
      <x:c r="X20" s="24" t="n">
        <x:v>3744</x:v>
      </x:c>
      <x:c r="Y20" s="24" t="n">
        <x:v>65</x:v>
      </x:c>
    </x:row>
    <x:row r="21" ht="70" customHeight="1">
      <x:c r="A21" s="14" t="n">
        <x:v>20</x:v>
      </x:c>
      <x:c r="B21" s="14" t="n">
        <x:v>368</x:v>
      </x:c>
      <x:c r="C21" s="14" t="str">
        <x:v>es</x:v>
      </x:c>
      <x:c r="D21" s="14" t="str">
        <x:v>multi_retrieval</x:v>
      </x:c>
      <x:c r="E21" s="14" t="str">
        <x:v>aggregation</x:v>
      </x:c>
      <x:c r="F21" s="14" t="n">
        <x:v>1</x:v>
      </x:c>
      <x:c r="G21" s="14" t="str">
        <x:v>bm25_top2</x:v>
      </x:c>
      <x:c r="H21" s="18" t="str">
        <x:v>¿Cuántos países están involucrados en las operaciones militares ampliadas de Israel y en el conflicto entre Israel y Palestina?</x:v>
      </x:c>
      <x:c r="I21" s="18" t="str">
        <x:v>Tres países están directamente involucrados en las operaciones militares ampliadas de Israel y en el conflicto entre Israel y Palestina: Israel, el Líbano (incluyendo a Hezbolá) e Irán.</x:v>
      </x:c>
      <x:c r="J21" s="18" t="str">
        <x:v>Según el artículo, las operaciones militares ampliadas de Israel se extienden a Líbano y el conflicto involucra directamente a Israel y Palestina, es decir, al menos tres países o territorios mencionados.</x:v>
      </x:c>
      <x:c r="K21" s="14" t="str">
        <x:v>2,8</x:v>
      </x:c>
      <x:c r="L21" s="14" t="str">
        <x:v>1,2</x:v>
      </x:c>
      <x:c r="M21" s="20" t="n">
        <x:v>0.5</x:v>
      </x:c>
      <x:c r="N21" s="20" t="n">
        <x:v>0.5</x:v>
      </x:c>
      <x:c r="O21" s="15" t="b">
        <x:v>0</x:v>
      </x:c>
      <x:c r="P21" s="22" t="n">
        <x:v>31</x:v>
      </x:c>
      <x:c r="Q21" s="14" t="str">
        <x:v>no</x:v>
      </x:c>
      <x:c r="R21" s="22" t="n">
        <x:v>1</x:v>
      </x:c>
      <x:c r="S21" s="14" t="str">
        <x:v>no</x:v>
      </x:c>
      <x:c r="T21" s="14" t="str">
        <x:v>yes</x:v>
      </x:c>
      <x:c r="U21" s="14" t="str">
        <x:v>yes</x:v>
      </x:c>
      <x:c r="V21" s="18" t="str">
        <x:v>Incomplete answer</x:v>
      </x:c>
      <x:c r="W21" s="18" t="str">
        <x:v>Gave a total of three but counted Israel, Palestine, and Lebanon, omitting Iran and not matching the required country set.</x:v>
      </x:c>
      <x:c r="X21" s="24" t="n">
        <x:v>3176</x:v>
      </x:c>
      <x:c r="Y21" s="24" t="n">
        <x:v>48</x:v>
      </x:c>
    </x:row>
  </x:sheetData>
  <x:conditionalFormatting sqref="R2:R21">
    <x:cfRule type="cellIs" dxfId="0" priority="1">
      <x:formula>2</x:formula>
    </x:cfRule>
    <x:cfRule type="cellIs" dxfId="1" priority="2">
      <x:formula>1</x:formula>
    </x:cfRule>
    <x:cfRule type="cellIs" dxfId="2" priority="3">
      <x:formula>0</x:formula>
    </x:cfRule>
  </x:conditionalFormatting>
  <x:conditionalFormatting sqref="O2:O21">
    <x:cfRule type="expression" dxfId="3" priority="4">
      <x:formula>O2=TRUE</x:formula>
    </x:cfRule>
    <x:cfRule type="expression" dxfId="4" priority="5">
      <x:formula>O2=FALSE</x:formula>
    </x:cfRule>
  </x:conditionalFormatting>
  <x:conditionalFormatting sqref="Q2:Q21">
    <x:cfRule type="expression" dxfId="5" priority="6">
      <x:formula>Q2="yes"</x:formula>
    </x:cfRule>
  </x:conditionalFormatting>
  <x:conditionalFormatting sqref="U2:U21">
    <x:cfRule type="expression" dxfId="6" priority="7">
      <x:formula>U2="yes"</x:formula>
    </x:cfRule>
  </x:conditionalFormatting>
  <x:dataValidations count="5">
    <x:dataValidation type="list" sqref="R2:R21">
      <x:formula1>"0,1,2"</x:formula1>
    </x:dataValidation>
    <x:dataValidation type="list" sqref="S2:S21">
      <x:formula1>"yes,no"</x:formula1>
    </x:dataValidation>
    <x:dataValidation type="list" sqref="T2:T21">
      <x:formula1>"yes,no"</x:formula1>
    </x:dataValidation>
    <x:dataValidation type="list" sqref="U2:U21">
      <x:formula1>"yes,no"</x:formula1>
    </x:dataValidation>
    <x:dataValidation type="list" sqref="V2:V21">
      <x:formula1>"No error — fully correct,Incomplete answer,Distractor contamination,Wrong number or count,Wrong central answer"</x:formula1>
    </x:dataValidation>
  </x:dataValidations>
  <x:pageMargins left="0.7" right="0.7" top="0.75" bottom="0.75" header="0.3" footer="0.3"/>
  <x:tableParts count="1">
    <x:tablePart xmlns:r="http://schemas.openxmlformats.org/officeDocument/2006/relationships" r:id="Rfdb6ce0b76324b3c"/>
  </x:tableParts>
</x:worksheet>
</file>

<file path=xl/worksheets/sheet2.xml><?xml version="1.0" encoding="utf-8"?>
<x:worksheet xmlns:x="http://schemas.openxmlformats.org/spreadsheetml/2006/main">
  <x:sheetFormatPr defaultRowHeight="15"/>
  <x:cols>
    <x:col min="1" max="1" width="30" hidden="0" customWidth="1"/>
    <x:col min="2" max="2" width="15" hidden="0" customWidth="1"/>
    <x:col min="3" max="3" width="4" hidden="0" customWidth="1"/>
    <x:col min="4" max="4" width="31" hidden="0" customWidth="1"/>
    <x:col min="5" max="5" width="16" hidden="0" customWidth="1"/>
  </x:cols>
  <x:sheetData>
    <x:row r="1">
      <x:c r="A1" s="28" t="str">
        <x:v>BM25 Top-2 Scored Review Summary</x:v>
      </x:c>
      <x:c r="B1" s="28"/>
      <x:c r="C1" s="28"/>
      <x:c r="D1" s="28"/>
      <x:c r="E1" s="28"/>
      <x:c r="F1" s="28"/>
      <x:c r="G1" s="28"/>
      <x:c r="H1" s="28"/>
    </x:row>
    <x:row r="2">
      <x:c r="A2" s="28"/>
      <x:c r="B2" s="28"/>
      <x:c r="C2" s="28"/>
      <x:c r="D2" s="28"/>
      <x:c r="E2" s="28"/>
      <x:c r="F2" s="28"/>
      <x:c r="G2" s="28"/>
      <x:c r="H2" s="28"/>
    </x:row>
    <x:row r="4">
      <x:c r="A4" s="8" t="str">
        <x:v>Correctness Metrics</x:v>
      </x:c>
      <x:c r="B4" s="8" t="str">
        <x:v>Value</x:v>
      </x:c>
      <x:c r="C4" s="36"/>
      <x:c r="D4" s="8" t="str">
        <x:v>Retrieval &amp; Quality Checks</x:v>
      </x:c>
      <x:c r="E4" s="8" t="str">
        <x:v>Value</x:v>
      </x:c>
    </x:row>
    <x:row r="5">
      <x:c r="A5" s="36" t="str">
        <x:v>Total responses</x:v>
      </x:c>
      <x:c r="B5" s="36" t="n">
        <x:f>COUNTA('BM25 Review'!A2:A21)</x:f>
        <x:v>20</x:v>
      </x:c>
      <x:c r="C5" s="36"/>
      <x:c r="D5" s="36" t="str">
        <x:v>Complete support retrieved</x:v>
      </x:c>
      <x:c r="E5" s="36" t="n">
        <x:f>COUNTIF('BM25 Review'!O2:O21,1)</x:f>
        <x:v>10</x:v>
      </x:c>
    </x:row>
    <x:row r="6">
      <x:c r="A6" s="36" t="str">
        <x:v>Total score</x:v>
      </x:c>
      <x:c r="B6" s="36" t="n">
        <x:f>SUM('BM25 Review'!R2:R21)</x:f>
        <x:v>31</x:v>
      </x:c>
      <x:c r="C6" s="36"/>
      <x:c r="D6" s="36" t="str">
        <x:v>Accuracy with complete support</x:v>
      </x:c>
      <x:c r="E6" s="37" t="n">
        <x:f>SUMIF('BM25 Review'!O2:O21,1,'BM25 Review'!R2:R21)/(COUNTIF('BM25 Review'!O2:O21,1)*2)</x:f>
        <x:v>0.85</x:v>
      </x:c>
    </x:row>
    <x:row r="7">
      <x:c r="A7" s="36" t="str">
        <x:v>Possible score</x:v>
      </x:c>
      <x:c r="B7" s="36" t="n">
        <x:f>B5*2</x:f>
        <x:v>40</x:v>
      </x:c>
      <x:c r="C7" s="36"/>
      <x:c r="D7" s="36" t="str">
        <x:v>Accuracy with incomplete support</x:v>
      </x:c>
      <x:c r="E7" s="37" t="n">
        <x:f>SUMIF('BM25 Review'!O2:O21,0,'BM25 Review'!R2:R21)/(COUNTIF('BM25 Review'!O2:O21,0)*2)</x:f>
        <x:v>0.7</x:v>
      </x:c>
    </x:row>
    <x:row r="8">
      <x:c r="A8" s="36" t="str">
        <x:v>Correctness percentage</x:v>
      </x:c>
      <x:c r="B8" s="37" t="n">
        <x:f>B6/B7</x:f>
        <x:v>0.775</x:v>
      </x:c>
      <x:c r="C8" s="36"/>
      <x:c r="D8" s="36" t="str">
        <x:v>Refusals</x:v>
      </x:c>
      <x:c r="E8" s="36" t="n">
        <x:f>COUNTIF('BM25 Review'!S2:S21,"yes")</x:f>
        <x:v>0</x:v>
      </x:c>
    </x:row>
    <x:row r="9">
      <x:c r="A9" s="36" t="str">
        <x:v>Fully correct (2)</x:v>
      </x:c>
      <x:c r="B9" s="36" t="n">
        <x:f>COUNTIF('BM25 Review'!R2:R21,2)</x:f>
        <x:v>14</x:v>
      </x:c>
      <x:c r="C9" s="36"/>
      <x:c r="D9" s="36" t="str">
        <x:v>Correct response language</x:v>
      </x:c>
      <x:c r="E9" s="36" t="n">
        <x:f>COUNTIF('BM25 Review'!T2:T21,"yes")</x:f>
        <x:v>20</x:v>
      </x:c>
    </x:row>
    <x:row r="10">
      <x:c r="A10" s="36" t="str">
        <x:v>Partially correct (1)</x:v>
      </x:c>
      <x:c r="B10" s="36" t="n">
        <x:f>COUNTIF('BM25 Review'!R2:R21,1)</x:f>
        <x:v>3</x:v>
      </x:c>
      <x:c r="C10" s="36"/>
      <x:c r="D10" s="36" t="str">
        <x:v>Unsupported-information flags</x:v>
      </x:c>
      <x:c r="E10" s="36" t="n">
        <x:f>COUNTIF('BM25 Review'!U2:U21,"yes")</x:f>
        <x:v>6</x:v>
      </x:c>
    </x:row>
    <x:row r="11">
      <x:c r="A11" s="36" t="str">
        <x:v>Incorrect (0)</x:v>
      </x:c>
      <x:c r="B11" s="36" t="n">
        <x:f>COUNTIF('BM25 Review'!R2:R21,0)</x:f>
        <x:v>3</x:v>
      </x:c>
      <x:c r="C11" s="36"/>
      <x:c r="D11" s="36" t="str">
        <x:v>Responses over 35 words</x:v>
      </x:c>
      <x:c r="E11" s="36" t="n">
        <x:f>COUNTIF('BM25 Review'!Q2:Q21,"yes")</x:f>
        <x:v>2</x:v>
      </x:c>
    </x:row>
    <x:row r="12">
      <x:c r="A12" s="36"/>
      <x:c r="B12" s="36"/>
      <x:c r="C12" s="36"/>
      <x:c r="D12" s="36" t="str">
        <x:v>Input tokens</x:v>
      </x:c>
      <x:c r="E12" s="38" t="n">
        <x:f>SUM('BM25 Review'!X2:X21)</x:f>
        <x:v>70522</x:v>
      </x:c>
    </x:row>
    <x:row r="13">
      <x:c r="A13" s="36"/>
      <x:c r="B13" s="36"/>
      <x:c r="C13" s="36"/>
      <x:c r="D13" s="36" t="str">
        <x:v>Output tokens</x:v>
      </x:c>
      <x:c r="E13" s="38" t="n">
        <x:f>SUM('BM25 Review'!Y2:Y21)</x:f>
        <x:v>959</x:v>
      </x:c>
    </x:row>
    <x:row r="14">
      <x:c r="A14" s="8" t="str">
        <x:v>Score Distribution</x:v>
      </x:c>
      <x:c r="B14" s="8" t="str">
        <x:v>Count</x:v>
      </x:c>
      <x:c r="C14" s="36"/>
      <x:c r="D14" s="36"/>
      <x:c r="E14" s="36"/>
    </x:row>
    <x:row r="15">
      <x:c r="A15" s="36" t="str">
        <x:v>Fully correct (2)</x:v>
      </x:c>
      <x:c r="B15" s="36" t="n">
        <x:f>COUNTIF('BM25 Review'!R2:R21,2)</x:f>
        <x:v>14</x:v>
      </x:c>
      <x:c r="C15" s="36"/>
      <x:c r="D15" s="36"/>
      <x:c r="E15" s="36"/>
    </x:row>
    <x:row r="16">
      <x:c r="A16" s="36" t="str">
        <x:v>Partially correct (1)</x:v>
      </x:c>
      <x:c r="B16" s="36" t="n">
        <x:f>COUNTIF('BM25 Review'!R2:R21,1)</x:f>
        <x:v>3</x:v>
      </x:c>
      <x:c r="C16" s="36"/>
      <x:c r="D16" s="36"/>
      <x:c r="E16" s="36"/>
    </x:row>
    <x:row r="17">
      <x:c r="A17" s="36" t="str">
        <x:v>Incorrect (0)</x:v>
      </x:c>
      <x:c r="B17" s="36" t="n">
        <x:f>COUNTIF('BM25 Review'!R2:R21,0)</x:f>
        <x:v>3</x:v>
      </x:c>
      <x:c r="C17" s="36"/>
      <x:c r="D17" s="36"/>
      <x:c r="E17" s="36"/>
    </x:row>
    <x:row r="18">
      <x:c r="A18" s="36"/>
      <x:c r="B18" s="36"/>
      <x:c r="C18" s="36"/>
      <x:c r="D18" s="36"/>
      <x:c r="E18" s="36"/>
    </x:row>
    <x:row r="19">
      <x:c r="A19" s="36"/>
      <x:c r="B19" s="36"/>
      <x:c r="C19" s="36"/>
      <x:c r="D19" s="36"/>
      <x:c r="E19" s="36"/>
    </x:row>
    <x:row r="20">
      <x:c r="A20" s="8" t="str">
        <x:v>Primary Error Category</x:v>
      </x:c>
      <x:c r="B20" s="8" t="str">
        <x:v>Count</x:v>
      </x:c>
      <x:c r="C20" s="36"/>
      <x:c r="D20" s="36"/>
      <x:c r="E20" s="36"/>
    </x:row>
    <x:row r="21">
      <x:c r="A21" s="36" t="str">
        <x:v>No error — fully correct</x:v>
      </x:c>
      <x:c r="B21" s="36" t="n">
        <x:f>COUNTIF('BM25 Review'!V2:V21,"No error — fully correct")</x:f>
        <x:v>14</x:v>
      </x:c>
      <x:c r="C21" s="36"/>
      <x:c r="D21" s="36"/>
      <x:c r="E21" s="36"/>
    </x:row>
    <x:row r="22">
      <x:c r="A22" s="36" t="str">
        <x:v>Incomplete answer</x:v>
      </x:c>
      <x:c r="B22" s="36" t="n">
        <x:f>COUNTIF('BM25 Review'!V2:V21,"Incomplete answer")</x:f>
        <x:v>3</x:v>
      </x:c>
      <x:c r="C22" s="36"/>
      <x:c r="D22" s="36"/>
      <x:c r="E22" s="36"/>
    </x:row>
    <x:row r="23">
      <x:c r="A23" s="36" t="str">
        <x:v>Distractor contamination</x:v>
      </x:c>
      <x:c r="B23" s="36" t="n">
        <x:f>COUNTIF('BM25 Review'!V2:V21,"Distractor contamination")</x:f>
        <x:v>1</x:v>
      </x:c>
      <x:c r="C23" s="36"/>
      <x:c r="D23" s="36"/>
      <x:c r="E23" s="36"/>
    </x:row>
    <x:row r="24">
      <x:c r="A24" s="36" t="str">
        <x:v>Wrong number or count</x:v>
      </x:c>
      <x:c r="B24" s="36" t="n">
        <x:f>COUNTIF('BM25 Review'!V2:V21,"Wrong number or count")</x:f>
        <x:v>1</x:v>
      </x:c>
      <x:c r="C24" s="36"/>
      <x:c r="D24" s="36"/>
      <x:c r="E24" s="36"/>
    </x:row>
    <x:row r="25">
      <x:c r="A25" s="36" t="str">
        <x:v>Wrong central answer</x:v>
      </x:c>
      <x:c r="B25" s="36" t="n">
        <x:f>COUNTIF('BM25 Review'!V2:V21,"Wrong central answer")</x:f>
        <x:v>1</x:v>
      </x:c>
      <x:c r="C25" s="36"/>
      <x:c r="D25" s="36"/>
      <x:c r="E25" s="36"/>
    </x:row>
  </x:sheetData>
  <x:mergeCells>
    <x:mergeCell ref="A1:H2"/>
  </x:mergeCells>
  <x:conditionalFormatting sqref="B8:B8">
    <x:cfRule type="colorScale" priority="1">
      <x:colorScale>
        <x:cfvo type="min"/>
        <x:cfvo type="percentile" val="50"/>
        <x:cfvo type="max"/>
        <x:color rgb="FFF8696B"/>
        <x:color rgb="FFFFEB84"/>
        <x:color rgb="FF63BE7B"/>
      </x:colorScale>
    </x:cfRule>
  </x:conditionalFormatting>
  <x:conditionalFormatting sqref="E6:E7">
    <x:cfRule type="colorScale" priority="2">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6ef7a5cac6b147cd"/>
</x:worksheet>
</file>

<file path=xl/worksheets/sheet3.xml><?xml version="1.0" encoding="utf-8"?>
<x:worksheet xmlns:x="http://schemas.openxmlformats.org/spreadsheetml/2006/main">
  <x:sheetFormatPr defaultRowHeight="15"/>
  <x:cols>
    <x:col min="1" max="1" width="28" hidden="0" customWidth="1"/>
    <x:col min="2" max="2" width="24" hidden="0" customWidth="1"/>
    <x:col min="3" max="3" width="70" hidden="0" customWidth="1"/>
  </x:cols>
  <x:sheetData>
    <x:row r="1">
      <x:c r="A1" s="28" t="str">
        <x:v>Manual Scoring Guide</x:v>
      </x:c>
      <x:c r="B1" s="28"/>
      <x:c r="C1" s="28"/>
      <x:c r="D1" s="28"/>
      <x:c r="E1" s="28"/>
      <x:c r="F1" s="28"/>
    </x:row>
    <x:row r="2">
      <x:c r="A2" s="28"/>
      <x:c r="B2" s="28"/>
      <x:c r="C2" s="28"/>
      <x:c r="D2" s="28"/>
      <x:c r="E2" s="28"/>
      <x:c r="F2" s="28"/>
    </x:row>
    <x:row r="4">
      <x:c r="A4" s="8" t="str">
        <x:v>Correctness Score</x:v>
      </x:c>
      <x:c r="B4" s="8" t="str">
        <x:v>Meaning</x:v>
      </x:c>
      <x:c r="C4" s="8" t="str">
        <x:v>Use When</x:v>
      </x:c>
    </x:row>
    <x:row r="5" ht="42" customHeight="1">
      <x:c r="A5" s="36" t="n">
        <x:v>2</x:v>
      </x:c>
      <x:c r="B5" s="36" t="str">
        <x:v>Fully correct</x:v>
      </x:c>
      <x:c r="C5" s="36" t="str">
        <x:v>The central answer matches the gold answer with no meaningful factual omission or contradiction.</x:v>
      </x:c>
    </x:row>
    <x:row r="6" ht="42" customHeight="1">
      <x:c r="A6" s="36" t="n">
        <x:v>1</x:v>
      </x:c>
      <x:c r="B6" s="36" t="str">
        <x:v>Partially correct</x:v>
      </x:c>
      <x:c r="C6" s="36" t="str">
        <x:v>The central answer is partly right but incomplete, imprecise, or contains a limited unsupported addition.</x:v>
      </x:c>
    </x:row>
    <x:row r="7" ht="42" customHeight="1">
      <x:c r="A7" s="36" t="n">
        <x:v>0</x:v>
      </x:c>
      <x:c r="B7" s="36" t="str">
        <x:v>Incorrect</x:v>
      </x:c>
      <x:c r="C7" s="36" t="str">
        <x:v>The answer gives the wrong central conclusion, wrong count, or answers a different question.</x:v>
      </x:c>
    </x:row>
    <x:row r="8" ht="42" customHeight="1">
      <x:c r="A8" s="36"/>
      <x:c r="B8" s="36"/>
      <x:c r="C8" s="36"/>
    </x:row>
    <x:row r="9" ht="42" customHeight="1">
      <x:c r="A9" s="36"/>
      <x:c r="B9" s="36"/>
      <x:c r="C9" s="36"/>
    </x:row>
    <x:row r="10" ht="42" customHeight="1">
      <x:c r="A10" s="8" t="str">
        <x:v>Flag</x:v>
      </x:c>
      <x:c r="B10" s="8" t="str">
        <x:v>Allowed Values</x:v>
      </x:c>
      <x:c r="C10" s="8" t="str">
        <x:v>Definition</x:v>
      </x:c>
    </x:row>
    <x:row r="11" ht="42" customHeight="1">
      <x:c r="A11" s="36" t="str">
        <x:v>refusal</x:v>
      </x:c>
      <x:c r="B11" s="36" t="str">
        <x:v>yes / no</x:v>
      </x:c>
      <x:c r="C11" s="36" t="str">
        <x:v>Whether the model refused or avoided answering.</x:v>
      </x:c>
    </x:row>
    <x:row r="12" ht="42" customHeight="1">
      <x:c r="A12" s="36" t="str">
        <x:v>correct_language</x:v>
      </x:c>
      <x:c r="B12" s="36" t="str">
        <x:v>yes / no</x:v>
      </x:c>
      <x:c r="C12" s="36" t="str">
        <x:v>Whether the response is in the same language as the question.</x:v>
      </x:c>
    </x:row>
    <x:row r="13" ht="42" customHeight="1">
      <x:c r="A13" s="36" t="str">
        <x:v>unsupported_information</x:v>
      </x:c>
      <x:c r="B13" s="36" t="str">
        <x:v>yes / no</x:v>
      </x:c>
      <x:c r="C13" s="36" t="str">
        <x:v>Whether the response adds factual claims not supported by the gold answer or retrieved evidence.</x:v>
      </x:c>
    </x:row>
    <x:row r="14" ht="42" customHeight="1">
      <x:c r="A14" s="36"/>
      <x:c r="B14" s="36"/>
      <x:c r="C14" s="36"/>
    </x:row>
    <x:row r="15" ht="42" customHeight="1">
      <x:c r="A15" s="36"/>
      <x:c r="B15" s="36"/>
      <x:c r="C15" s="36"/>
    </x:row>
    <x:row r="16" ht="42" customHeight="1">
      <x:c r="A16" s="8" t="str">
        <x:v>Primary Error Category</x:v>
      </x:c>
      <x:c r="B16" s="8" t="str">
        <x:v>Definition</x:v>
      </x:c>
      <x:c r="C16" s="36"/>
    </x:row>
    <x:row r="17" ht="42" customHeight="1">
      <x:c r="A17" s="36" t="str">
        <x:v>No error — fully correct</x:v>
      </x:c>
      <x:c r="B17" s="36" t="str">
        <x:v>Used when the score is 2 and no material issue is present.</x:v>
      </x:c>
      <x:c r="C17" s="36"/>
    </x:row>
    <x:row r="18" ht="42" customHeight="1">
      <x:c r="A18" s="36" t="str">
        <x:v>Incomplete answer</x:v>
      </x:c>
      <x:c r="B18" s="36" t="str">
        <x:v>The response gets the main direction right but omits required evidence or entities.</x:v>
      </x:c>
      <x:c r="C18" s="36"/>
    </x:row>
    <x:row r="19" ht="42" customHeight="1">
      <x:c r="A19" s="36" t="str">
        <x:v>Distractor contamination</x:v>
      </x:c>
      <x:c r="B19" s="36" t="str">
        <x:v>The response follows information from a non-supporting document rather than the gold evidence.</x:v>
      </x:c>
      <x:c r="C19" s="36"/>
    </x:row>
    <x:row r="20" ht="42" customHeight="1">
      <x:c r="A20" s="36" t="str">
        <x:v>Wrong number or count</x:v>
      </x:c>
      <x:c r="B20" s="36" t="str">
        <x:v>The response provides an incorrect numerical answer or set size.</x:v>
      </x:c>
      <x:c r="C20" s="36"/>
    </x:row>
    <x:row r="21" ht="42" customHeight="1">
      <x:c r="A21" s="36" t="str">
        <x:v>Wrong central answer</x:v>
      </x:c>
      <x:c r="B21" s="36" t="str">
        <x:v>The response reverses or otherwise misses the benchmark's central conclusion.</x:v>
      </x:c>
      <x:c r="C21" s="36"/>
    </x:row>
  </x:sheetData>
  <x:mergeCells>
    <x:mergeCell ref="A1:F2"/>
  </x:mergeCells>
  <x:pageMargins left="0.7" right="0.7" top="0.75" bottom="0.75" header="0.3" footer="0.3"/>
</x:worksheet>
</file>