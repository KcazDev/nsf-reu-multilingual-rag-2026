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a093c71a0742cb" /></Relationships>
</file>

<file path=xl/workbook.xml><?xml version="1.0" encoding="utf-8"?>
<x:workbook xmlns:x="http://schemas.openxmlformats.org/spreadsheetml/2006/main">
  <x:sheets>
    <x:sheet xmlns:r="http://schemas.openxmlformats.org/officeDocument/2006/relationships" name="Scored Results" sheetId="1" r:id="Re0e7e6a261a445b6"/>
    <x:sheet xmlns:r="http://schemas.openxmlformats.org/officeDocument/2006/relationships" name="Summary" sheetId="2" r:id="R9712429b2d144499"/>
    <x:sheet xmlns:r="http://schemas.openxmlformats.org/officeDocument/2006/relationships" name="Rubric" sheetId="3" r:id="Rca96adaeaae9474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5">
    <x:font>
      <x:sz val="11"/>
      <x:name val="Carlito"/>
    </x:font>
    <x:font>
      <x:b/>
      <x:sz val="11"/>
      <x:color rgb="FFFFFFFF"/>
      <x:name val="Carlito"/>
    </x:font>
    <x:font>
      <x:b/>
      <x:sz val="16"/>
      <x:color rgb="FFFFFFFF"/>
      <x:name val="Carlito"/>
    </x:font>
    <x:font>
      <x:b/>
      <x:sz val="11"/>
      <x:name val="Carlito"/>
    </x:font>
    <x:font>
      <x:b/>
      <x:sz val="13"/>
      <x:color rgb="FF1F1F1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BFE"/>
      </x:patternFill>
    </x:fill>
    <x:fill>
      <x:patternFill patternType="solid">
        <x:fgColor rgb="FFFCE4D6"/>
      </x:patternFill>
    </x:fill>
    <x:fill>
      <x:patternFill patternType="solid">
        <x:fgColor rgb="FFFFF7F2"/>
      </x:patternFill>
    </x:fill>
  </x:fills>
  <x:borders count="34">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x:xf>
    <x:xf numFmtId="0" fontId="0" fillId="0" borderId="14" xfId="0" applyNumberFormat="1" applyFont="1" applyFill="1" applyBorder="1" applyAlignment="1">
      <x:alignment vertical="top"/>
    </x:xf>
    <x:xf numFmtId="0" fontId="0"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x:xf>
    <x:xf numFmtId="0" fontId="0" fillId="0" borderId="5" xfId="0" applyNumberFormat="1" applyFont="1" applyFill="1" applyBorder="1" applyAlignment="1">
      <x:alignment horizontal="center" vertical="top"/>
    </x:xf>
    <x:xf numFmtId="0" fontId="0" fillId="0" borderId="0" xfId="0" applyNumberFormat="1" applyFont="1" applyFill="1" applyBorder="1" applyAlignment="1">
      <x:alignment horizontal="center" vertical="top"/>
    </x:xf>
    <x:xf numFmtId="0" fontId="0" fillId="0" borderId="7" xfId="0" applyNumberFormat="1" applyFont="1" applyFill="1" applyBorder="1" applyAlignment="1">
      <x:alignment horizontal="center" vertical="top"/>
    </x:xf>
    <x:xf numFmtId="0" fontId="0" fillId="0" borderId="8" xfId="0" applyNumberFormat="1" applyFont="1" applyFill="1" applyBorder="1" applyAlignment="1">
      <x:alignment horizontal="center" vertical="top"/>
    </x:xf>
    <x:xf numFmtId="0" fontId="0" fillId="0" borderId="13"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0" fillId="0" borderId="15" xfId="0" applyNumberFormat="1" applyFont="1" applyFill="1" applyBorder="1" applyAlignment="1">
      <x:alignment horizontal="center" vertical="top"/>
    </x:xf>
    <x:xf numFmtId="0" fontId="0" fillId="0" borderId="16"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0" fillId="0" borderId="0" xfId="0" applyNumberFormat="1" applyFont="1" applyFill="1" applyBorder="1" applyAlignment="1">
      <x:alignment horizontal="right" vertical="top"/>
    </x:xf>
    <x:xf numFmtId="0" fontId="0" fillId="0" borderId="6" xfId="0" applyNumberFormat="1" applyFont="1" applyFill="1" applyBorder="1" applyAlignment="1">
      <x:alignment horizontal="right" vertical="top"/>
    </x:xf>
    <x:xf numFmtId="0" fontId="0" fillId="0" borderId="8" xfId="0" applyNumberFormat="1" applyFont="1" applyFill="1" applyBorder="1" applyAlignment="1">
      <x:alignment horizontal="right" vertical="top"/>
    </x:xf>
    <x:xf numFmtId="0" fontId="0" fillId="0" borderId="9" xfId="0" applyNumberFormat="1" applyFont="1" applyFill="1" applyBorder="1" applyAlignment="1">
      <x:alignment horizontal="right" vertical="top"/>
    </x:xf>
    <x:xf numFmtId="0" fontId="0" fillId="0" borderId="1" xfId="0" applyNumberFormat="1" applyFont="1" applyFill="1" applyBorder="1" applyAlignment="1">
      <x:alignment horizontal="right" vertical="top"/>
    </x:xf>
    <x:xf numFmtId="0" fontId="0" fillId="0" borderId="14" xfId="0" applyNumberFormat="1" applyFont="1" applyFill="1" applyBorder="1" applyAlignment="1">
      <x:alignment horizontal="right" vertical="top"/>
    </x:xf>
    <x:xf numFmtId="0" fontId="0" fillId="0" borderId="16" xfId="0" applyNumberFormat="1" applyFont="1" applyFill="1" applyBorder="1" applyAlignment="1">
      <x:alignment horizontal="right" vertical="top"/>
    </x:xf>
    <x:xf numFmtId="0" fontId="0" fillId="0" borderId="17" xfId="0" applyNumberFormat="1" applyFont="1" applyFill="1" applyBorder="1" applyAlignment="1">
      <x:alignment horizontal="right"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1" fillId="2" borderId="18" xfId="0" applyNumberFormat="1" applyFont="1" applyFill="1" applyBorder="1" applyAlignment="1">
      <x:alignment horizontal="center" vertical="center" wrapText="1"/>
    </x:xf>
    <x:xf numFmtId="0" fontId="1" fillId="2" borderId="19" xfId="0" applyNumberFormat="1" applyFont="1" applyFill="1" applyBorder="1" applyAlignment="1">
      <x:alignment horizontal="center" vertical="center" wrapText="1"/>
    </x:xf>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1" fillId="2" borderId="24" xfId="0" applyNumberFormat="1" applyFont="1" applyFill="1" applyBorder="1" applyAlignment="1">
      <x:alignment horizontal="center" vertical="center" wrapText="1"/>
    </x:xf>
    <x:xf numFmtId="0" fontId="1" fillId="2" borderId="25" xfId="0" applyNumberFormat="1" applyFont="1" applyFill="1" applyBorder="1" applyAlignment="1">
      <x:alignment horizontal="center" vertical="center" wrapText="1"/>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3" fillId="0" borderId="20" xfId="0" applyNumberFormat="1" applyFont="1" applyFill="1" applyBorder="1"/>
    <x:xf numFmtId="0" fontId="3" fillId="0" borderId="22" xfId="0" applyNumberFormat="1" applyFont="1" applyFill="1" applyBorder="1"/>
    <x:xf numFmtId="0" fontId="3" fillId="0" borderId="26" xfId="0" applyNumberFormat="1" applyFont="1" applyFill="1" applyBorder="1"/>
    <x:xf numFmtId="0" fontId="3" fillId="0" borderId="28" xfId="0" applyNumberFormat="1" applyFont="1" applyFill="1" applyBorder="1"/>
    <x:xf numFmtId="0" fontId="1" fillId="2" borderId="30" xfId="0" applyNumberFormat="1" applyFont="1" applyFill="1" applyBorder="1" applyAlignment="1">
      <x:alignment horizontal="center" vertical="center" wrapText="1"/>
    </x:xf>
    <x:xf numFmtId="0" fontId="0" fillId="0" borderId="0" xfId="0" applyNumberFormat="1" applyFont="1" applyFill="1" applyBorder="1"/>
    <x:xf numFmtId="0" fontId="0" fillId="0" borderId="31" xfId="0" applyNumberFormat="1" applyFont="1" applyFill="1" applyBorder="1"/>
    <x:xf numFmtId="0" fontId="1" fillId="2" borderId="32" xfId="0" applyNumberFormat="1" applyFont="1" applyFill="1" applyBorder="1" applyAlignment="1">
      <x:alignment horizontal="center" vertical="center" wrapText="1"/>
    </x:xf>
    <x:xf numFmtId="0" fontId="0" fillId="0" borderId="33" xfId="0" applyNumberFormat="1" applyFont="1" applyFill="1" applyBorder="1"/>
    <x:xf numFmtId="200" fontId="0" fillId="0" borderId="0" xfId="0" applyNumberFormat="1" applyFont="1" applyFill="1" applyBorder="1"/>
    <x:xf numFmtId="200" fontId="0" fillId="0" borderId="31" xfId="0" applyNumberFormat="1" applyFont="1" applyFill="1" applyBorder="1"/>
    <x:xf numFmtId="200" fontId="0" fillId="0" borderId="1" xfId="0" applyNumberFormat="1" applyFont="1" applyFill="1" applyBorder="1"/>
    <x:xf numFmtId="200" fontId="0" fillId="0" borderId="33" xfId="0" applyNumberFormat="1" applyFont="1" applyFill="1" applyBorder="1"/>
    <x:xf numFmtId="201" fontId="0" fillId="0" borderId="0" xfId="0" applyNumberFormat="1" applyFont="1" applyFill="1" applyBorder="1"/>
    <x:xf numFmtId="201" fontId="0" fillId="0" borderId="31" xfId="0" applyNumberFormat="1" applyFont="1" applyFill="1" applyBorder="1"/>
    <x:xf numFmtId="201" fontId="0" fillId="0" borderId="1" xfId="0" applyNumberFormat="1" applyFont="1" applyFill="1" applyBorder="1"/>
    <x:xf numFmtId="201" fontId="0" fillId="0" borderId="33" xfId="0" applyNumberFormat="1" applyFont="1" applyFill="1" applyBorder="1"/>
    <x:xf numFmtId="201" fontId="0" fillId="0" borderId="21" xfId="0" applyNumberFormat="1" applyFont="1" applyFill="1" applyBorder="1"/>
    <x:xf numFmtId="201" fontId="0" fillId="0" borderId="23" xfId="0" applyNumberFormat="1" applyFont="1" applyFill="1" applyBorder="1"/>
    <x:xf numFmtId="201" fontId="0" fillId="0" borderId="27" xfId="0" applyNumberFormat="1" applyFont="1" applyFill="1" applyBorder="1"/>
    <x:xf numFmtId="201" fontId="0" fillId="0" borderId="29"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lef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23" xfId="0" applyNumberFormat="1" applyFont="1" applyFill="1" applyBorder="1" applyAlignment="1">
      <x:alignment wrapText="1"/>
    </x:xf>
  </x:cellXfs>
  <x:cellStyles count="1">
    <x:cellStyle name="Normal" xfId="0"/>
  </x:cellStyles>
  <x:dxfs count="2">
    <x:dxf>
      <x:font>
        <x:b/>
        <x:color rgb="FF9C0006"/>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1c3fe460d64c23" /><Relationship Type="http://schemas.openxmlformats.org/officeDocument/2006/relationships/theme" Target="/xl/theme/theme1.xml" Id="R8ad9ebd91b7d4cce" /><Relationship Type="http://schemas.openxmlformats.org/officeDocument/2006/relationships/sharedStrings" Target="/xl/sharedStrings.xml" Id="R15aa2ff8a12142ce" /><Relationship Type="http://schemas.openxmlformats.org/officeDocument/2006/relationships/worksheet" Target="/xl/worksheets/sheet1.xml" Id="Re0e7e6a261a445b6" /><Relationship Type="http://schemas.openxmlformats.org/officeDocument/2006/relationships/worksheet" Target="/xl/worksheets/sheet2.xml" Id="R9712429b2d144499" /><Relationship Type="http://schemas.openxmlformats.org/officeDocument/2006/relationships/worksheet" Target="/xl/worksheets/sheet3.xml" Id="Rca96adaeaae94749" /></Relationships>
</file>

<file path=xl/drawings/_rels/drawing1.xml.rels>&#65279;<?xml version="1.0" encoding="utf-8"?><Relationships xmlns="http://schemas.openxmlformats.org/package/2006/relationships"><Relationship Type="http://schemas.openxmlformats.org/officeDocument/2006/relationships/chart" Target="/xl/drawings/charts/chart1.xml" Id="R7f35d1fea6e7421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Correctness by Retrieval Condition</a:t>
            </a:r>
          </a:p>
        </c:rich>
      </c:tx>
      <c:overlay val="0"/>
    </c:title>
    <c:autoTitleDeleted val="0"/>
    <c:plotArea>
      <c:layout/>
      <c:barChart>
        <c:barDir val="col"/>
        <c:grouping val="clustered"/>
        <c:varyColors val="0"/>
        <c:ser>
          <c:idx val="0"/>
          <c:order val="0"/>
          <c:tx>
            <c:v>Series 1</c:v>
          </c:tx>
          <c:cat>
            <c:strLit>
              <c:ptCount val="1"/>
              <c:pt idx="0">
                <c:v>Item 1</c:v>
              </c:pt>
            </c:strLit>
          </c:cat>
          <c:val>
            <c:numLit>
              <c:formatCode>General</c:formatCode>
              <c:ptCount val="1"/>
              <c:pt idx="0">
                <c:v>0</c:v>
              </c:pt>
            </c:numLit>
          </c:val>
        </c:ser>
        <c:ser>
          <c:idx val="1"/>
          <c:order val="1"/>
          <c:tx>
            <c:v>Percent of Possible Points</c:v>
          </c:tx>
          <c:cat>
            <c:strRef>
              <c:f>'Summary'!$A$12:$A$14</c:f>
              <c:strCache>
                <c:ptCount val="1"/>
                <c:pt idx="0">
                  <c:v>Item 1</c:v>
                </c:pt>
              </c:strCache>
            </c:strRef>
          </c:cat>
          <c:val>
            <c:numRef>
              <c:f>'Summary'!$D$12:$D$14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12</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35d1fea6e74210"/>
        </a:graphicData>
      </a:graphic>
    </xdr:graphicFrame>
    <xdr:clientData/>
  </xdr:twoCellAnchor>
</xdr:wsDr>
</file>

<file path=xl/tables/table1.xml><?xml version="1.0" encoding="utf-8"?>
<x:table xmlns:x="http://schemas.openxmlformats.org/spreadsheetml/2006/main" id="1" name="OpenAIResultsTable" displayName="OpenAIResultsTable" ref="A1:Q61" headerRowCount="1">
  <x:tableColumns count="17">
    <x:tableColumn id="1" name="Example Number"/>
    <x:tableColumn id="2" name="XRAG ID"/>
    <x:tableColumn id="3" name="Language"/>
    <x:tableColumn id="4" name="Task"/>
    <x:tableColumn id="5" name="Question Type"/>
    <x:tableColumn id="6" name="Crossdoc Type"/>
    <x:tableColumn id="7" name="Condition"/>
    <x:tableColumn id="8" name="Question"/>
    <x:tableColumn id="9" name="Gold Answer"/>
    <x:tableColumn id="10" name="Model Answer"/>
    <x:tableColumn id="11" name="Correctness Score"/>
    <x:tableColumn id="12" name="Refusal"/>
    <x:tableColumn id="13" name="Correct Language"/>
    <x:tableColumn id="14" name="Unsupported Information"/>
    <x:tableColumn id="15" name="Scoring Notes"/>
    <x:tableColumn id="16" name="Input Tokens"/>
    <x:tableColumn id="17" name="Output Toke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b5479229754721" /></Relationships>
</file>

<file path=xl/worksheets/_rels/sheet2.xml.rels>&#65279;<?xml version="1.0" encoding="utf-8"?><Relationships xmlns="http://schemas.openxmlformats.org/package/2006/relationships"><Relationship Type="http://schemas.openxmlformats.org/officeDocument/2006/relationships/drawing" Target="/xl/drawings/drawing1.xml" Id="R583bd0811fbb4cec" /></Relationships>
</file>

<file path=xl/worksheets/sheet1.xml><?xml version="1.0" encoding="utf-8"?>
<x:worksheet xmlns:x="http://schemas.openxmlformats.org/spreadsheetml/2006/main">
  <x:sheetFormatPr defaultRowHeight="15"/>
  <x:cols>
    <x:col min="1" max="1" width="11" hidden="0" customWidth="1"/>
    <x:col min="2" max="2" width="10" hidden="0" customWidth="1"/>
    <x:col min="3" max="3" width="9" hidden="0" customWidth="1"/>
    <x:col min="4" max="4" width="18" hidden="0" customWidth="1"/>
    <x:col min="5" max="5" width="16" hidden="0" customWidth="1"/>
    <x:col min="6" max="6" width="14" hidden="0" customWidth="1"/>
    <x:col min="7" max="7" width="17" hidden="0" customWidth="1"/>
    <x:col min="8" max="8" width="45" hidden="0" customWidth="1"/>
    <x:col min="9" max="9" width="46" hidden="0" customWidth="1"/>
    <x:col min="10" max="10" width="50" hidden="0" customWidth="1"/>
    <x:col min="11" max="11" width="13" hidden="0" customWidth="1"/>
    <x:col min="12" max="12" width="10" hidden="0" customWidth="1"/>
    <x:col min="13" max="13" width="15" hidden="0" customWidth="1"/>
    <x:col min="14" max="14" width="20" hidden="0" customWidth="1"/>
    <x:col min="15" max="15" width="45" hidden="0" customWidth="1"/>
    <x:col min="16" max="16" width="14" hidden="0" customWidth="1"/>
    <x:col min="17" max="17" width="14" hidden="0" customWidth="1"/>
  </x:cols>
  <x:sheetData>
    <x:row r="1" ht="42" customHeight="1">
      <x:c r="A1" s="16" t="str">
        <x:v>Example Number</x:v>
      </x:c>
      <x:c r="B1" s="17" t="str">
        <x:v>XRAG ID</x:v>
      </x:c>
      <x:c r="C1" s="17" t="str">
        <x:v>Language</x:v>
      </x:c>
      <x:c r="D1" s="17" t="str">
        <x:v>Task</x:v>
      </x:c>
      <x:c r="E1" s="17" t="str">
        <x:v>Question Type</x:v>
      </x:c>
      <x:c r="F1" s="17" t="str">
        <x:v>Crossdoc Type</x:v>
      </x:c>
      <x:c r="G1" s="17" t="str">
        <x:v>Condition</x:v>
      </x:c>
      <x:c r="H1" s="17" t="str">
        <x:v>Question</x:v>
      </x:c>
      <x:c r="I1" s="17" t="str">
        <x:v>Gold Answer</x:v>
      </x:c>
      <x:c r="J1" s="17" t="str">
        <x:v>Model Answer</x:v>
      </x:c>
      <x:c r="K1" s="17" t="str">
        <x:v>Correctness Score</x:v>
      </x:c>
      <x:c r="L1" s="17" t="str">
        <x:v>Refusal</x:v>
      </x:c>
      <x:c r="M1" s="17" t="str">
        <x:v>Correct Language</x:v>
      </x:c>
      <x:c r="N1" s="17" t="str">
        <x:v>Unsupported Information</x:v>
      </x:c>
      <x:c r="O1" s="17" t="str">
        <x:v>Scoring Notes</x:v>
      </x:c>
      <x:c r="P1" s="17" t="str">
        <x:v>Input Tokens</x:v>
      </x:c>
      <x:c r="Q1" s="18" t="str">
        <x:v>Output Tokens</x:v>
      </x:c>
    </x:row>
    <x:row r="2" ht="30" customHeight="1">
      <x:c r="A2" s="34" t="str">
        <x:v>1</x:v>
      </x:c>
      <x:c r="B2" s="35" t="str">
        <x:v>114</x:v>
      </x:c>
      <x:c r="C2" s="35" t="str">
        <x:v>es</x:v>
      </x:c>
      <x:c r="D2" s="35" t="str">
        <x:v>mono_retrieval</x:v>
      </x:c>
      <x:c r="E2" s="35" t="str">
        <x:v>multihop</x:v>
      </x:c>
      <x:c r="F2" s="35" t="str">
        <x:v>1</x:v>
      </x:c>
      <x:c r="G2" s="35" t="str">
        <x:v>no_documents</x:v>
      </x:c>
      <x:c r="H2" s="14" t="str">
        <x:v>¿Qué objetivos militares puede atacar ahora Ucrania en Rusia a pesar de las restricciones estadounidenses sobre los ATACMS?</x:v>
      </x:c>
      <x:c r="I2" s="14" t="str">
        <x:v>Ucrania puede ahora atacar las defensas aéreas y los sistemas de misiles rusos dentro de Rusia, a pesar de las restricciones estadounidenses al uso de ATACMS.</x:v>
      </x:c>
      <x:c r="J2" s="14" t="str">
        <x:v>Según lo informado, Ucrania puede atacar puestos de mando, depósitos logísticos y concentraciones de tropas rusas cerca de la frontera, pero no objetivos profundos dentro de Rusia con ATACMS estadounidenses.</x:v>
      </x:c>
      <x:c r="K2" s="42" t="n">
        <x:v>1</x:v>
      </x:c>
      <x:c r="L2" s="42" t="str">
        <x:v>No</x:v>
      </x:c>
      <x:c r="M2" s="42" t="str">
        <x:v>Yes</x:v>
      </x:c>
      <x:c r="N2" s="42" t="str">
        <x:v>Yes</x:v>
      </x:c>
      <x:c r="O2" s="14" t="str">
        <x:v>Partially answers with other near-border targets but omits the reference targets of air defenses and missile systems.</x:v>
      </x:c>
      <x:c r="P2" s="46" t="n">
        <x:v>160</x:v>
      </x:c>
      <x:c r="Q2" s="47" t="n">
        <x:v>45</x:v>
      </x:c>
    </x:row>
    <x:row r="3" ht="30" customHeight="1">
      <x:c r="A3" s="34" t="str">
        <x:v>1</x:v>
      </x:c>
      <x:c r="B3" s="35" t="str">
        <x:v>114</x:v>
      </x:c>
      <x:c r="C3" s="35" t="str">
        <x:v>es</x:v>
      </x:c>
      <x:c r="D3" s="35" t="str">
        <x:v>mono_retrieval</x:v>
      </x:c>
      <x:c r="E3" s="35" t="str">
        <x:v>multihop</x:v>
      </x:c>
      <x:c r="F3" s="35" t="str">
        <x:v>1</x:v>
      </x:c>
      <x:c r="G3" s="35" t="str">
        <x:v>support_only</x:v>
      </x:c>
      <x:c r="H3" s="14" t="str">
        <x:v>¿Qué objetivos militares puede atacar ahora Ucrania en Rusia a pesar de las restricciones estadounidenses sobre los ATACMS?</x:v>
      </x:c>
      <x:c r="I3" s="14" t="str">
        <x:v>Ucrania puede ahora atacar las defensas aéreas y los sistemas de misiles rusos dentro de Rusia, a pesar de las restricciones estadounidenses al uso de ATACMS.</x:v>
      </x:c>
      <x:c r="J3" s="14" t="str">
        <x:v>Ahora Ucrania puede atacar en territorio ruso defensas aéreas, aeronaves y otros sistemas militares que la atacan, además de depósitos logísticos y centros de mando y control cercanos a la frontera.</x:v>
      </x:c>
      <x:c r="K3" s="42" t="n">
        <x:v>1</x:v>
      </x:c>
      <x:c r="L3" s="42" t="str">
        <x:v>No</x:v>
      </x:c>
      <x:c r="M3" s="42" t="str">
        <x:v>Yes</x:v>
      </x:c>
      <x:c r="N3" s="42" t="str">
        <x:v>No</x:v>
      </x:c>
      <x:c r="O3" s="14" t="str">
        <x:v>Identifies air defenses but does not explicitly identify missile systems; it adds several other targets.</x:v>
      </x:c>
      <x:c r="P3" s="46" t="n">
        <x:v>3419</x:v>
      </x:c>
      <x:c r="Q3" s="47" t="n">
        <x:v>45</x:v>
      </x:c>
    </x:row>
    <x:row r="4" ht="30" customHeight="1">
      <x:c r="A4" s="34" t="str">
        <x:v>1</x:v>
      </x:c>
      <x:c r="B4" s="35" t="str">
        <x:v>114</x:v>
      </x:c>
      <x:c r="C4" s="35" t="str">
        <x:v>es</x:v>
      </x:c>
      <x:c r="D4" s="35" t="str">
        <x:v>mono_retrieval</x:v>
      </x:c>
      <x:c r="E4" s="35" t="str">
        <x:v>multihop</x:v>
      </x:c>
      <x:c r="F4" s="35" t="str">
        <x:v>1</x:v>
      </x:c>
      <x:c r="G4" s="35" t="str">
        <x:v>all_documents</x:v>
      </x:c>
      <x:c r="H4" s="14" t="str">
        <x:v>¿Qué objetivos militares puede atacar ahora Ucrania en Rusia a pesar de las restricciones estadounidenses sobre los ATACMS?</x:v>
      </x:c>
      <x:c r="I4" s="14" t="str">
        <x:v>Ucrania puede ahora atacar las defensas aéreas y los sistemas de misiles rusos dentro de Rusia, a pesar de las restricciones estadounidenses al uso de ATACMS.</x:v>
      </x:c>
      <x:c r="J4" s="14" t="str">
        <x:v>Según las noticias de junio de 2024, Ucrania puede atacar en Rusia, cerca de Járkov, puestos de mando y control, depósitos de armas, artillería, logística y defensas aéreas, pero no objetivos profundos con ATACMS.</x:v>
      </x:c>
      <x:c r="K4" s="42" t="n">
        <x:v>1</x:v>
      </x:c>
      <x:c r="L4" s="42" t="str">
        <x:v>No</x:v>
      </x:c>
      <x:c r="M4" s="42" t="str">
        <x:v>Yes</x:v>
      </x:c>
      <x:c r="N4" s="42" t="str">
        <x:v>Yes</x:v>
      </x:c>
      <x:c r="O4" s="14" t="str">
        <x:v>Identifies air defenses but omits missile systems and adds several other targets.</x:v>
      </x:c>
      <x:c r="P4" s="46" t="n">
        <x:v>13665</x:v>
      </x:c>
      <x:c r="Q4" s="47" t="n">
        <x:v>58</x:v>
      </x:c>
    </x:row>
    <x:row r="5" ht="30" customHeight="1">
      <x:c r="A5" s="34" t="str">
        <x:v>2</x:v>
      </x:c>
      <x:c r="B5" s="35" t="str">
        <x:v>156</x:v>
      </x:c>
      <x:c r="C5" s="35" t="str">
        <x:v>ar</x:v>
      </x:c>
      <x:c r="D5" s="35" t="str">
        <x:v>multi_retrieval</x:v>
      </x:c>
      <x:c r="E5" s="35" t="str">
        <x:v>set</x:v>
      </x:c>
      <x:c r="F5" s="35" t="str">
        <x:v>2</x:v>
      </x:c>
      <x:c r="G5" s="35" t="str">
        <x:v>no_documents</x:v>
      </x:c>
      <x:c r="H5" s="14" t="str">
        <x:v>ما المجموعات المتورطة في الصراعات في ميانمار والسودان؟</x:v>
      </x:c>
      <x:c r="I5" s="14"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5" s="14" t="str">
        <x:v>في ميانمار يدور الصراع بين المجلس العسكري وجماعات عرقية مسلحة وقوات المقاومة المؤيدة للديمقراطية، وفي السودان بين الجيش السوداني بقيادة عبد الفتاح البرهان وقوات الدعم السريع بقيادة محمد حمدان دقلو.</x:v>
      </x:c>
      <x:c r="K5" s="42" t="n">
        <x:v>1</x:v>
      </x:c>
      <x:c r="L5" s="42" t="str">
        <x:v>No</x:v>
      </x:c>
      <x:c r="M5" s="42" t="str">
        <x:v>Yes</x:v>
      </x:c>
      <x:c r="N5" s="42" t="str">
        <x:v>Yes</x:v>
      </x:c>
      <x:c r="O5" s="14" t="str">
        <x:v>Correctly identifies Sudan’s army and RSF, but gives only broad Myanmar groups and omits the Arakan Army.</x:v>
      </x:c>
      <x:c r="P5" s="46" t="n">
        <x:v>157</x:v>
      </x:c>
      <x:c r="Q5" s="47" t="n">
        <x:v>60</x:v>
      </x:c>
    </x:row>
    <x:row r="6" ht="30" customHeight="1">
      <x:c r="A6" s="34" t="str">
        <x:v>2</x:v>
      </x:c>
      <x:c r="B6" s="35" t="str">
        <x:v>156</x:v>
      </x:c>
      <x:c r="C6" s="35" t="str">
        <x:v>ar</x:v>
      </x:c>
      <x:c r="D6" s="35" t="str">
        <x:v>multi_retrieval</x:v>
      </x:c>
      <x:c r="E6" s="35" t="str">
        <x:v>set</x:v>
      </x:c>
      <x:c r="F6" s="35" t="str">
        <x:v>2</x:v>
      </x:c>
      <x:c r="G6" s="35" t="str">
        <x:v>support_only</x:v>
      </x:c>
      <x:c r="H6" s="14" t="str">
        <x:v>ما المجموعات المتورطة في الصراعات في ميانمار والسودان؟</x:v>
      </x:c>
      <x:c r="I6" s="14"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6" s="14" t="str">
        <x:v>في ميانمار، يتورط جيش ميانمار الحاكم وجيش أراكان وجماعات مسلحة مسلمة متطرفة، وفي السودان يتورط الجيش السوداني وقوات الدعم السريع.</x:v>
      </x:c>
      <x:c r="K6" s="42" t="n">
        <x:v>1</x:v>
      </x:c>
      <x:c r="L6" s="42" t="str">
        <x:v>No</x:v>
      </x:c>
      <x:c r="M6" s="42" t="str">
        <x:v>Yes</x:v>
      </x:c>
      <x:c r="N6" s="42" t="str">
        <x:v>No</x:v>
      </x:c>
      <x:c r="O6" s="14" t="str">
        <x:v>Includes the core groups in both countries but adds an additional Myanmar group not in the reference answer.</x:v>
      </x:c>
      <x:c r="P6" s="46" t="n">
        <x:v>3265</x:v>
      </x:c>
      <x:c r="Q6" s="47" t="n">
        <x:v>49</x:v>
      </x:c>
    </x:row>
    <x:row r="7" ht="30" customHeight="1">
      <x:c r="A7" s="34" t="str">
        <x:v>2</x:v>
      </x:c>
      <x:c r="B7" s="35" t="str">
        <x:v>156</x:v>
      </x:c>
      <x:c r="C7" s="35" t="str">
        <x:v>ar</x:v>
      </x:c>
      <x:c r="D7" s="35" t="str">
        <x:v>multi_retrieval</x:v>
      </x:c>
      <x:c r="E7" s="35" t="str">
        <x:v>set</x:v>
      </x:c>
      <x:c r="F7" s="35" t="str">
        <x:v>2</x:v>
      </x:c>
      <x:c r="G7" s="35" t="str">
        <x:v>all_documents</x:v>
      </x:c>
      <x:c r="H7" s="14" t="str">
        <x:v>ما المجموعات المتورطة في الصراعات في ميانمار والسودان؟</x:v>
      </x:c>
      <x:c r="I7" s="14"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7" s="14" t="str">
        <x:v>في ميانمار تتورط junta العسكرية وجيش أراكان وجماعات مسلحة مسلمة متطرفة، وفي السودان يتورط الجيش السوداني وقوات الدعم السريع، مع حلفاء مسلحين ووكلاء دوليين مثل مصر والإمارات وإيران والسعودية والولايات المتحدة وروسيا.</x:v>
      </x:c>
      <x:c r="K7" s="42" t="n">
        <x:v>1</x:v>
      </x:c>
      <x:c r="L7" s="42" t="str">
        <x:v>No</x:v>
      </x:c>
      <x:c r="M7" s="42" t="str">
        <x:v>Yes</x:v>
      </x:c>
      <x:c r="N7" s="42" t="str">
        <x:v>Yes</x:v>
      </x:c>
      <x:c r="O7" s="14" t="str">
        <x:v>Includes the core groups but adds numerous unrelated or overly broad actors.</x:v>
      </x:c>
      <x:c r="P7" s="46" t="n">
        <x:v>10594</x:v>
      </x:c>
      <x:c r="Q7" s="47" t="n">
        <x:v>72</x:v>
      </x:c>
    </x:row>
    <x:row r="8" ht="30" customHeight="1">
      <x:c r="A8" s="34" t="str">
        <x:v>3</x:v>
      </x:c>
      <x:c r="B8" s="35" t="str">
        <x:v>1119</x:v>
      </x:c>
      <x:c r="C8" s="35" t="str">
        <x:v>ar</x:v>
      </x:c>
      <x:c r="D8" s="35" t="str">
        <x:v>mono_retrieval</x:v>
      </x:c>
      <x:c r="E8" s="35" t="str">
        <x:v>set</x:v>
      </x:c>
      <x:c r="F8" s="35" t="str">
        <x:v>1</x:v>
      </x:c>
      <x:c r="G8" s="35" t="str">
        <x:v>no_documents</x:v>
      </x:c>
      <x:c r="H8" s="14" t="str">
        <x:v>ما الخصائص المرتبطة بجينيفر لوبيز وبن أفليك في عام 2023؟</x:v>
      </x:c>
      <x:c r="I8" s="14"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8" s="14" t="str">
        <x:v>في عام 2023، وصفت الأخبار جينيفر لوبيز وبن أفليك بأنهما زوجان مشهوران أعادا إحياء علاقتهما السابقة بعد الزواج في 2022 وظهرا كثيرًا معًا في مناسبات عامة.</x:v>
      </x:c>
      <x:c r="K8" s="42" t="n">
        <x:v>0</x:v>
      </x:c>
      <x:c r="L8" s="42" t="str">
        <x:v>No</x:v>
      </x:c>
      <x:c r="M8" s="42" t="str">
        <x:v>Yes</x:v>
      </x:c>
      <x:c r="N8" s="42" t="str">
        <x:v>Yes</x:v>
      </x:c>
      <x:c r="O8" s="14" t="str">
        <x:v>Does not answer the 2023 property and residence details in the reference answer.</x:v>
      </x:c>
      <x:c r="P8" s="46" t="n">
        <x:v>161</x:v>
      </x:c>
      <x:c r="Q8" s="47" t="n">
        <x:v>56</x:v>
      </x:c>
    </x:row>
    <x:row r="9" ht="30" customHeight="1">
      <x:c r="A9" s="34" t="str">
        <x:v>3</x:v>
      </x:c>
      <x:c r="B9" s="35" t="str">
        <x:v>1119</x:v>
      </x:c>
      <x:c r="C9" s="35" t="str">
        <x:v>ar</x:v>
      </x:c>
      <x:c r="D9" s="35" t="str">
        <x:v>mono_retrieval</x:v>
      </x:c>
      <x:c r="E9" s="35" t="str">
        <x:v>set</x:v>
      </x:c>
      <x:c r="F9" s="35" t="str">
        <x:v>1</x:v>
      </x:c>
      <x:c r="G9" s="35" t="str">
        <x:v>support_only</x:v>
      </x:c>
      <x:c r="H9" s="14" t="str">
        <x:v>ما الخصائص المرتبطة بجينيفر لوبيز وبن أفليك في عام 2023؟</x:v>
      </x:c>
      <x:c r="I9" s="14"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9" s="14" t="str">
        <x:v>في صيف 2023، ارتبطت جينيفر لوبيز وبن أفليك بشراء قصر في بيل إير مقابل 60.85 مليون دولار، مساحته 46 ألف قدم مربعة ويضم 12 غرفة نوم و24 حماماً.</x:v>
      </x:c>
      <x:c r="K9" s="42" t="n">
        <x:v>1</x:v>
      </x:c>
      <x:c r="L9" s="42" t="str">
        <x:v>No</x:v>
      </x:c>
      <x:c r="M9" s="42" t="str">
        <x:v>Yes</x:v>
      </x:c>
      <x:c r="N9" s="42" t="str">
        <x:v>No</x:v>
      </x:c>
      <x:c r="O9" s="14" t="str">
        <x:v>Correctly identifies the $60.85 million Bel Air mansion but omits the separate residence and rental-home detail.</x:v>
      </x:c>
      <x:c r="P9" s="46" t="n">
        <x:v>3515</x:v>
      </x:c>
      <x:c r="Q9" s="47" t="n">
        <x:v>63</x:v>
      </x:c>
    </x:row>
    <x:row r="10" ht="30" customHeight="1">
      <x:c r="A10" s="34" t="str">
        <x:v>3</x:v>
      </x:c>
      <x:c r="B10" s="35" t="str">
        <x:v>1119</x:v>
      </x:c>
      <x:c r="C10" s="35" t="str">
        <x:v>ar</x:v>
      </x:c>
      <x:c r="D10" s="35" t="str">
        <x:v>mono_retrieval</x:v>
      </x:c>
      <x:c r="E10" s="35" t="str">
        <x:v>set</x:v>
      </x:c>
      <x:c r="F10" s="35" t="str">
        <x:v>1</x:v>
      </x:c>
      <x:c r="G10" s="35" t="str">
        <x:v>all_documents</x:v>
      </x:c>
      <x:c r="H10" s="14" t="str">
        <x:v>ما الخصائص المرتبطة بجينيفر لوبيز وبن أفليك في عام 2023؟</x:v>
      </x:c>
      <x:c r="I10" s="14"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10" s="14" t="str">
        <x:v>في تقارير 2023 ارتبطت جينيفر لوبيز بحب الظهور العلني والتعبير عن العلاقة، بينما ارتبط بن أفليك بعدم الارتياح للانكشاف الإعلامي وظهوره كثيرًا بمزاج عابس أو متجهم.</x:v>
      </x:c>
      <x:c r="K10" s="42" t="n">
        <x:v>0</x:v>
      </x:c>
      <x:c r="L10" s="42" t="str">
        <x:v>No</x:v>
      </x:c>
      <x:c r="M10" s="42" t="str">
        <x:v>Yes</x:v>
      </x:c>
      <x:c r="N10" s="42" t="str">
        <x:v>Yes</x:v>
      </x:c>
      <x:c r="O10" s="14" t="str">
        <x:v>Discusses media behavior rather than the property and residence details.</x:v>
      </x:c>
      <x:c r="P10" s="46" t="n">
        <x:v>15557</x:v>
      </x:c>
      <x:c r="Q10" s="47" t="n">
        <x:v>67</x:v>
      </x:c>
    </x:row>
    <x:row r="11" ht="30" customHeight="1">
      <x:c r="A11" s="34" t="str">
        <x:v>4</x:v>
      </x:c>
      <x:c r="B11" s="35" t="str">
        <x:v>1037</x:v>
      </x:c>
      <x:c r="C11" s="35" t="str">
        <x:v>es</x:v>
      </x:c>
      <x:c r="D11" s="35" t="str">
        <x:v>mono_retrieval</x:v>
      </x:c>
      <x:c r="E11" s="35" t="str">
        <x:v>aggregation</x:v>
      </x:c>
      <x:c r="F11" s="35" t="str">
        <x:v>0</x:v>
      </x:c>
      <x:c r="G11" s="35" t="str">
        <x:v>no_documents</x:v>
      </x:c>
      <x:c r="H11" s="14" t="str">
        <x:v>¿A cuántos grupos arma Irán a pesar de su afiliación sunita?</x:v>
      </x:c>
      <x:c r="I11" s="14" t="str">
        <x:v>Irán arma a dos grupos a pesar de su afiliación sunita: Hamás y la Yihad Islámica.</x:v>
      </x:c>
      <x:c r="J11" s="14" t="str">
        <x:v>Irán arma al menos a dos grupos sunitas destacados: Hamás y la Yihad Islámica Palestina.</x:v>
      </x:c>
      <x:c r="K11" s="42" t="n">
        <x:v>2</x:v>
      </x:c>
      <x:c r="L11" s="42" t="str">
        <x:v>No</x:v>
      </x:c>
      <x:c r="M11" s="42" t="str">
        <x:v>Yes</x:v>
      </x:c>
      <x:c r="N11" s="42" t="str">
        <x:v>No</x:v>
      </x:c>
      <x:c r="O11" s="14" t="str">
        <x:v>Correctly gives two groups and names Hamas and Palestinian Islamic Jihad.</x:v>
      </x:c>
      <x:c r="P11" s="46" t="n">
        <x:v>156</x:v>
      </x:c>
      <x:c r="Q11" s="47" t="n">
        <x:v>27</x:v>
      </x:c>
    </x:row>
    <x:row r="12" ht="30" customHeight="1">
      <x:c r="A12" s="34" t="str">
        <x:v>4</x:v>
      </x:c>
      <x:c r="B12" s="35" t="str">
        <x:v>1037</x:v>
      </x:c>
      <x:c r="C12" s="35" t="str">
        <x:v>es</x:v>
      </x:c>
      <x:c r="D12" s="35" t="str">
        <x:v>mono_retrieval</x:v>
      </x:c>
      <x:c r="E12" s="35" t="str">
        <x:v>aggregation</x:v>
      </x:c>
      <x:c r="F12" s="35" t="str">
        <x:v>0</x:v>
      </x:c>
      <x:c r="G12" s="35" t="str">
        <x:v>support_only</x:v>
      </x:c>
      <x:c r="H12" s="14" t="str">
        <x:v>¿A cuántos grupos arma Irán a pesar de su afiliación sunita?</x:v>
      </x:c>
      <x:c r="I12" s="14" t="str">
        <x:v>Irán arma a dos grupos a pesar de su afiliación sunita: Hamás y la Yihad Islámica.</x:v>
      </x:c>
      <x:c r="J12" s="14" t="str">
        <x:v>Según la noticia, Irán arma a dos grupos sunitas pese a su afiliación: Hamás y la Yihad Islámica.</x:v>
      </x:c>
      <x:c r="K12" s="42" t="n">
        <x:v>2</x:v>
      </x:c>
      <x:c r="L12" s="42" t="str">
        <x:v>No</x:v>
      </x:c>
      <x:c r="M12" s="42" t="str">
        <x:v>Yes</x:v>
      </x:c>
      <x:c r="N12" s="42" t="str">
        <x:v>No</x:v>
      </x:c>
      <x:c r="O12" s="14" t="str">
        <x:v>Correctly gives two groups and names Hamas and Palestinian Islamic Jihad.</x:v>
      </x:c>
      <x:c r="P12" s="46" t="n">
        <x:v>1703</x:v>
      </x:c>
      <x:c r="Q12" s="47" t="n">
        <x:v>31</x:v>
      </x:c>
    </x:row>
    <x:row r="13" ht="30" customHeight="1">
      <x:c r="A13" s="34" t="str">
        <x:v>4</x:v>
      </x:c>
      <x:c r="B13" s="35" t="str">
        <x:v>1037</x:v>
      </x:c>
      <x:c r="C13" s="35" t="str">
        <x:v>es</x:v>
      </x:c>
      <x:c r="D13" s="35" t="str">
        <x:v>mono_retrieval</x:v>
      </x:c>
      <x:c r="E13" s="35" t="str">
        <x:v>aggregation</x:v>
      </x:c>
      <x:c r="F13" s="35" t="str">
        <x:v>0</x:v>
      </x:c>
      <x:c r="G13" s="35" t="str">
        <x:v>all_documents</x:v>
      </x:c>
      <x:c r="H13" s="14" t="str">
        <x:v>¿A cuántos grupos arma Irán a pesar de su afiliación sunita?</x:v>
      </x:c>
      <x:c r="I13" s="14" t="str">
        <x:v>Irán arma a dos grupos a pesar de su afiliación sunita: Hamás y la Yihad Islámica.</x:v>
      </x:c>
      <x:c r="J13" s="14" t="str">
        <x:v>Según las noticias, Irán arma pese a su afiliación sunita a dos grupos: Hamás y la Yihad Islámica.</x:v>
      </x:c>
      <x:c r="K13" s="42" t="n">
        <x:v>2</x:v>
      </x:c>
      <x:c r="L13" s="42" t="str">
        <x:v>No</x:v>
      </x:c>
      <x:c r="M13" s="42" t="str">
        <x:v>Yes</x:v>
      </x:c>
      <x:c r="N13" s="42" t="str">
        <x:v>No</x:v>
      </x:c>
      <x:c r="O13" s="14" t="str">
        <x:v>Correctly gives two groups and names Hamas and Palestinian Islamic Jihad.</x:v>
      </x:c>
      <x:c r="P13" s="46" t="n">
        <x:v>13066</x:v>
      </x:c>
      <x:c r="Q13" s="47" t="n">
        <x:v>31</x:v>
      </x:c>
    </x:row>
    <x:row r="14" ht="30" customHeight="1">
      <x:c r="A14" s="34" t="str">
        <x:v>5</x:v>
      </x:c>
      <x:c r="B14" s="35" t="str">
        <x:v>1410</x:v>
      </x:c>
      <x:c r="C14" s="35" t="str">
        <x:v>es</x:v>
      </x:c>
      <x:c r="D14" s="35" t="str">
        <x:v>mono_retrieval</x:v>
      </x:c>
      <x:c r="E14" s="35" t="str">
        <x:v>aggregation</x:v>
      </x:c>
      <x:c r="F14" s="35" t="str">
        <x:v>0</x:v>
      </x:c>
      <x:c r="G14" s="35" t="str">
        <x:v>no_documents</x:v>
      </x:c>
      <x:c r="H14" s="14" t="str">
        <x:v>¿Cuáles son algunos de los problemas que se informaron durante las elecciones con respecto a la votación?</x:v>
      </x:c>
      <x:c r="I14" s="14" t="str">
        <x:v>Se informaron problemas con los requisitos de identificación de los votantes y errores en la votación por correo.</x:v>
      </x:c>
      <x:c r="J14" s="14" t="str">
        <x:v>Se informó de problemas como largas filas, fallas o retrasos en máquinas de votación, escasez de boletas o papeletas, confusión sobre centros de votación y dificultades para algunos votantes para emitir su voto.</x:v>
      </x:c>
      <x:c r="K14" s="42" t="n">
        <x:v>0</x:v>
      </x:c>
      <x:c r="L14" s="42" t="str">
        <x:v>No</x:v>
      </x:c>
      <x:c r="M14" s="42" t="str">
        <x:v>Yes</x:v>
      </x:c>
      <x:c r="N14" s="42" t="str">
        <x:v>Yes</x:v>
      </x:c>
      <x:c r="O14" s="14" t="str">
        <x:v>Lists generic election problems but misses both voter-identification requirements and mail-voting errors.</x:v>
      </x:c>
      <x:c r="P14" s="46" t="n">
        <x:v>159</x:v>
      </x:c>
      <x:c r="Q14" s="47" t="n">
        <x:v>51</x:v>
      </x:c>
    </x:row>
    <x:row r="15" ht="30" customHeight="1">
      <x:c r="A15" s="34" t="str">
        <x:v>5</x:v>
      </x:c>
      <x:c r="B15" s="35" t="str">
        <x:v>1410</x:v>
      </x:c>
      <x:c r="C15" s="35" t="str">
        <x:v>es</x:v>
      </x:c>
      <x:c r="D15" s="35" t="str">
        <x:v>mono_retrieval</x:v>
      </x:c>
      <x:c r="E15" s="35" t="str">
        <x:v>aggregation</x:v>
      </x:c>
      <x:c r="F15" s="35" t="str">
        <x:v>0</x:v>
      </x:c>
      <x:c r="G15" s="35" t="str">
        <x:v>support_only</x:v>
      </x:c>
      <x:c r="H15" s="14" t="str">
        <x:v>¿Cuáles son algunos de los problemas que se informaron durante las elecciones con respecto a la votación?</x:v>
      </x:c>
      <x:c r="I15" s="14" t="str">
        <x:v>Se informaron problemas con los requisitos de identificación de los votantes y errores en la votación por correo.</x:v>
      </x:c>
      <x:c r="J15" s="14" t="str">
        <x:v>Se informó de colas en los colegios electorales, exigencia por primera vez de identificación con foto, carteles erróneos en un centro de Glasgow sobre cómo votar y 2.600 papeletas postales no enviadas en North West Essex.</x:v>
      </x:c>
      <x:c r="K15" s="42" t="n">
        <x:v>2</x:v>
      </x:c>
      <x:c r="L15" s="42" t="str">
        <x:v>No</x:v>
      </x:c>
      <x:c r="M15" s="42" t="str">
        <x:v>Yes</x:v>
      </x:c>
      <x:c r="N15" s="42" t="str">
        <x:v>No</x:v>
      </x:c>
      <x:c r="O15" s="14" t="str">
        <x:v>Captures the photo-identification requirement and postal-ballot error; the additional examples remain relevant.</x:v>
      </x:c>
      <x:c r="P15" s="46" t="n">
        <x:v>2698</x:v>
      </x:c>
      <x:c r="Q15" s="47" t="n">
        <x:v>55</x:v>
      </x:c>
    </x:row>
    <x:row r="16" ht="30" customHeight="1">
      <x:c r="A16" s="34" t="str">
        <x:v>5</x:v>
      </x:c>
      <x:c r="B16" s="35" t="str">
        <x:v>1410</x:v>
      </x:c>
      <x:c r="C16" s="35" t="str">
        <x:v>es</x:v>
      </x:c>
      <x:c r="D16" s="35" t="str">
        <x:v>mono_retrieval</x:v>
      </x:c>
      <x:c r="E16" s="35" t="str">
        <x:v>aggregation</x:v>
      </x:c>
      <x:c r="F16" s="35" t="str">
        <x:v>0</x:v>
      </x:c>
      <x:c r="G16" s="35" t="str">
        <x:v>all_documents</x:v>
      </x:c>
      <x:c r="H16" s="14" t="str">
        <x:v>¿Cuáles son algunos de los problemas que se informaron durante las elecciones con respecto a la votación?</x:v>
      </x:c>
      <x:c r="I16" s="14" t="str">
        <x:v>Se informaron problemas con los requisitos de identificación de los votantes y errores en la votación por correo.</x:v>
      </x:c>
      <x:c r="J16" s="14" t="str">
        <x:v>Se informó de retrasos y fallos rutinarios como problemas con máquinas tabuladoras y e-pollbooks, errores de impresión de boletas, aperturas tardías, amenazas de bomba no creíbles, inundaciones y hasta un corte eléctrico en un centro electoral.</x:v>
      </x:c>
      <x:c r="K16" s="42" t="n">
        <x:v>0</x:v>
      </x:c>
      <x:c r="L16" s="42" t="str">
        <x:v>No</x:v>
      </x:c>
      <x:c r="M16" s="42" t="str">
        <x:v>Yes</x:v>
      </x:c>
      <x:c r="N16" s="42" t="str">
        <x:v>Yes</x:v>
      </x:c>
      <x:c r="O16" s="14" t="str">
        <x:v>Lists other election problems but misses the two issues required by the reference answer.</x:v>
      </x:c>
      <x:c r="P16" s="46" t="n">
        <x:v>13464</x:v>
      </x:c>
      <x:c r="Q16" s="47" t="n">
        <x:v>58</x:v>
      </x:c>
    </x:row>
    <x:row r="17" ht="30" customHeight="1">
      <x:c r="A17" s="34" t="str">
        <x:v>6</x:v>
      </x:c>
      <x:c r="B17" s="35" t="str">
        <x:v>162</x:v>
      </x:c>
      <x:c r="C17" s="35" t="str">
        <x:v>es</x:v>
      </x:c>
      <x:c r="D17" s="35" t="str">
        <x:v>multi_retrieval</x:v>
      </x:c>
      <x:c r="E17" s="35" t="str">
        <x:v>aggregation</x:v>
      </x:c>
      <x:c r="F17" s="35" t="str">
        <x:v>0</x:v>
      </x:c>
      <x:c r="G17" s="35" t="str">
        <x:v>no_documents</x:v>
      </x:c>
      <x:c r="H17" s="14" t="str">
        <x:v>¿Cuántos incidentes aumentaron las tensiones en la península de Corea el 10 de mayo de 2023?</x:v>
      </x:c>
      <x:c r="I17" s="14" t="str">
        <x:v>Dos incidentes aumentaron las tensiones en la península de Corea el 10 de mayo de 2023: el lanzamiento de panfletos anti-Corea del Norte por parte de grupos de desertores de Corea del Sur y la represalia de Corea del Norte con globos llenos de basura.</x:v>
      </x:c>
      <x:c r="J17" s="14" t="str">
        <x:v>Dos incidentes aumentaron las tensiones en la península de Corea el 10 de mayo de 2023.</x:v>
      </x:c>
      <x:c r="K17" s="42" t="n">
        <x:v>2</x:v>
      </x:c>
      <x:c r="L17" s="42" t="str">
        <x:v>No</x:v>
      </x:c>
      <x:c r="M17" s="42" t="str">
        <x:v>Yes</x:v>
      </x:c>
      <x:c r="N17" s="42" t="str">
        <x:v>No</x:v>
      </x:c>
      <x:c r="O17" s="14" t="str">
        <x:v>Correctly gives the requested count of two.</x:v>
      </x:c>
      <x:c r="P17" s="46" t="n">
        <x:v>164</x:v>
      </x:c>
      <x:c r="Q17" s="47" t="n">
        <x:v>28</x:v>
      </x:c>
    </x:row>
    <x:row r="18" ht="30" customHeight="1">
      <x:c r="A18" s="34" t="str">
        <x:v>6</x:v>
      </x:c>
      <x:c r="B18" s="35" t="str">
        <x:v>162</x:v>
      </x:c>
      <x:c r="C18" s="35" t="str">
        <x:v>es</x:v>
      </x:c>
      <x:c r="D18" s="35" t="str">
        <x:v>multi_retrieval</x:v>
      </x:c>
      <x:c r="E18" s="35" t="str">
        <x:v>aggregation</x:v>
      </x:c>
      <x:c r="F18" s="35" t="str">
        <x:v>0</x:v>
      </x:c>
      <x:c r="G18" s="35" t="str">
        <x:v>support_only</x:v>
      </x:c>
      <x:c r="H18" s="14" t="str">
        <x:v>¿Cuántos incidentes aumentaron las tensiones en la península de Corea el 10 de mayo de 2023?</x:v>
      </x:c>
      <x:c r="I18" s="14" t="str">
        <x:v>Dos incidentes aumentaron las tensiones en la península de Corea el 10 de mayo de 2023: el lanzamiento de panfletos anti-Corea del Norte por parte de grupos de desertores de Corea del Sur y la represalia de Corea del Norte con globos llenos de basura.</x:v>
      </x:c>
      <x:c r="J18" s="14" t="str">
        <x:v>Según la noticia, las tensiones comenzaron a aumentar el 10 de mayo cuando grupos de desertores norcoreanos enviaron globos con panfletos anti-Corea del Norte desde Corea del Sur hacia el Norte.</x:v>
      </x:c>
      <x:c r="K18" s="42" t="n">
        <x:v>0</x:v>
      </x:c>
      <x:c r="L18" s="42" t="str">
        <x:v>No</x:v>
      </x:c>
      <x:c r="M18" s="42" t="str">
        <x:v>Yes</x:v>
      </x:c>
      <x:c r="N18" s="42" t="str">
        <x:v>No</x:v>
      </x:c>
      <x:c r="O18" s="14" t="str">
        <x:v>Describes one leaflet incident but does not give the count of two or mention the trash-balloon retaliation.</x:v>
      </x:c>
      <x:c r="P18" s="46" t="n">
        <x:v>1473</x:v>
      </x:c>
      <x:c r="Q18" s="47" t="n">
        <x:v>49</x:v>
      </x:c>
    </x:row>
    <x:row r="19" ht="30" customHeight="1">
      <x:c r="A19" s="34" t="str">
        <x:v>6</x:v>
      </x:c>
      <x:c r="B19" s="35" t="str">
        <x:v>162</x:v>
      </x:c>
      <x:c r="C19" s="35" t="str">
        <x:v>es</x:v>
      </x:c>
      <x:c r="D19" s="35" t="str">
        <x:v>multi_retrieval</x:v>
      </x:c>
      <x:c r="E19" s="35" t="str">
        <x:v>aggregation</x:v>
      </x:c>
      <x:c r="F19" s="35" t="str">
        <x:v>0</x:v>
      </x:c>
      <x:c r="G19" s="35" t="str">
        <x:v>all_documents</x:v>
      </x:c>
      <x:c r="H19" s="14" t="str">
        <x:v>¿Cuántos incidentes aumentaron las tensiones en la península de Corea el 10 de mayo de 2023?</x:v>
      </x:c>
      <x:c r="I19" s="14" t="str">
        <x:v>Dos incidentes aumentaron las tensiones en la península de Corea el 10 de mayo de 2023: el lanzamiento de panfletos anti-Corea del Norte por parte de grupos de desertores de Corea del Sur y la represalia de Corea del Norte con globos llenos de basura.</x:v>
      </x:c>
      <x:c r="J19" s="14" t="str">
        <x:v>Según la noticia, las tensiones comenzaron a aumentar el 10 de mayo cuando grupos de desertores norcoreanos enviaron globos con folletos anti-Corea del Norte desde Corea del Sur al Norte.</x:v>
      </x:c>
      <x:c r="K19" s="42" t="n">
        <x:v>0</x:v>
      </x:c>
      <x:c r="L19" s="42" t="str">
        <x:v>No</x:v>
      </x:c>
      <x:c r="M19" s="42" t="str">
        <x:v>Yes</x:v>
      </x:c>
      <x:c r="N19" s="42" t="str">
        <x:v>No</x:v>
      </x:c>
      <x:c r="O19" s="14" t="str">
        <x:v>Describes one leaflet incident but does not give the count of two or mention the trash-balloon retaliation.</x:v>
      </x:c>
      <x:c r="P19" s="46" t="n">
        <x:v>10640</x:v>
      </x:c>
      <x:c r="Q19" s="47" t="n">
        <x:v>47</x:v>
      </x:c>
    </x:row>
    <x:row r="20" ht="30" customHeight="1">
      <x:c r="A20" s="34" t="str">
        <x:v>7</x:v>
      </x:c>
      <x:c r="B20" s="35" t="str">
        <x:v>311</x:v>
      </x:c>
      <x:c r="C20" s="35" t="str">
        <x:v>ar</x:v>
      </x:c>
      <x:c r="D20" s="35" t="str">
        <x:v>mono_retrieval</x:v>
      </x:c>
      <x:c r="E20" s="35" t="str">
        <x:v>comparison</x:v>
      </x:c>
      <x:c r="F20" s="35" t="str">
        <x:v>0</x:v>
      </x:c>
      <x:c r="G20" s="35" t="str">
        <x:v>no_documents</x:v>
      </x:c>
      <x:c r="H20" s="14" t="str">
        <x:v>من أظهر دعما أكبر لكامالا هاريس، نشطاء حقوق الإجهاض أم الشخصيات السياسية مثل النائب جيمس كليبورن والسيناتور لافونزا بتلر؟</x:v>
      </x:c>
      <x:c r="I20" s="14" t="str">
        <x:v>أظهر نشطاء حقوق الإجهاض دعمًا أكبر لكامالا هاريس مقارنة بشخصيات سياسية مثل النائب جيمس كليبورن والسيناتور لافونزا بتلر.</x:v>
      </x:c>
      <x:c r="J20" s="14" t="str">
        <x:v>أظهر نشطاء حقوق الإجهاض دعما أكبر لكامالا هاريس، إذ احتفوا بها بحماس واعتبروها بطلة للقضية أكثر من التأييد السياسي البارز من شخصيات مثل جيمس كليبورن ولافونزا بتلر.</x:v>
      </x:c>
      <x:c r="K20" s="42" t="n">
        <x:v>2</x:v>
      </x:c>
      <x:c r="L20" s="42" t="str">
        <x:v>No</x:v>
      </x:c>
      <x:c r="M20" s="42" t="str">
        <x:v>Yes</x:v>
      </x:c>
      <x:c r="N20" s="42" t="str">
        <x:v>No</x:v>
      </x:c>
      <x:c r="O20" s="14" t="str">
        <x:v>Correctly identifies abortion-rights activists as showing greater support.</x:v>
      </x:c>
      <x:c r="P20" s="46" t="n">
        <x:v>182</x:v>
      </x:c>
      <x:c r="Q20" s="47" t="n">
        <x:v>65</x:v>
      </x:c>
    </x:row>
    <x:row r="21" ht="30" customHeight="1">
      <x:c r="A21" s="34" t="str">
        <x:v>7</x:v>
      </x:c>
      <x:c r="B21" s="35" t="str">
        <x:v>311</x:v>
      </x:c>
      <x:c r="C21" s="35" t="str">
        <x:v>ar</x:v>
      </x:c>
      <x:c r="D21" s="35" t="str">
        <x:v>mono_retrieval</x:v>
      </x:c>
      <x:c r="E21" s="35" t="str">
        <x:v>comparison</x:v>
      </x:c>
      <x:c r="F21" s="35" t="str">
        <x:v>0</x:v>
      </x:c>
      <x:c r="G21" s="35" t="str">
        <x:v>support_only</x:v>
      </x:c>
      <x:c r="H21" s="14" t="str">
        <x:v>من أظهر دعما أكبر لكامالا هاريس، نشطاء حقوق الإجهاض أم الشخصيات السياسية مثل النائب جيمس كليبورن والسيناتور لافونزا بتلر؟</x:v>
      </x:c>
      <x:c r="I21" s="14" t="str">
        <x:v>أظهر نشطاء حقوق الإجهاض دعمًا أكبر لكامالا هاريس مقارنة بشخصيات سياسية مثل النائب جيمس كليبورن والسيناتور لافونزا بتلر.</x:v>
      </x:c>
      <x:c r="J21" s="14" t="str">
        <x:v>بحسب الخبر، الشخصيات السياسية مثل جيمس كليبورن ولافونزا بتلر أظهرت دعماً أوضح وأكبر لهاريس عبر طرحها بديلاً مناسباً لبايدن، بينما ذُكر فقط أنها اكتسبت بعض الشعبية بين نشطاء حقوق الإجهاض.</x:v>
      </x:c>
      <x:c r="K21" s="42" t="n">
        <x:v>0</x:v>
      </x:c>
      <x:c r="L21" s="42" t="str">
        <x:v>No</x:v>
      </x:c>
      <x:c r="M21" s="42" t="str">
        <x:v>Yes</x:v>
      </x:c>
      <x:c r="N21" s="42" t="str">
        <x:v>Yes</x:v>
      </x:c>
      <x:c r="O21" s="14" t="str">
        <x:v>Reverses the comparison and says the political figures showed greater support.</x:v>
      </x:c>
      <x:c r="P21" s="46" t="n">
        <x:v>1668</x:v>
      </x:c>
      <x:c r="Q21" s="47" t="n">
        <x:v>68</x:v>
      </x:c>
    </x:row>
    <x:row r="22" ht="30" customHeight="1">
      <x:c r="A22" s="34" t="str">
        <x:v>7</x:v>
      </x:c>
      <x:c r="B22" s="35" t="str">
        <x:v>311</x:v>
      </x:c>
      <x:c r="C22" s="35" t="str">
        <x:v>ar</x:v>
      </x:c>
      <x:c r="D22" s="35" t="str">
        <x:v>mono_retrieval</x:v>
      </x:c>
      <x:c r="E22" s="35" t="str">
        <x:v>comparison</x:v>
      </x:c>
      <x:c r="F22" s="35" t="str">
        <x:v>0</x:v>
      </x:c>
      <x:c r="G22" s="35" t="str">
        <x:v>all_documents</x:v>
      </x:c>
      <x:c r="H22" s="14" t="str">
        <x:v>من أظهر دعما أكبر لكامالا هاريس، نشطاء حقوق الإجهاض أم الشخصيات السياسية مثل النائب جيمس كليبورن والسيناتور لافونزا بتلر؟</x:v>
      </x:c>
      <x:c r="I22" s="14" t="str">
        <x:v>أظهر نشطاء حقوق الإجهاض دعمًا أكبر لكامالا هاريس مقارنة بشخصيات سياسية مثل النائب جيمس كليبورن والسيناتور لافونزا بتلر.</x:v>
      </x:c>
      <x:c r="J22" s="14" t="str">
        <x:v>بحسب التغطية، الشخصيات السياسية مثل جيمس كليبورن ولافونزا بتلر أظهرت دعماً أوضح لهاريس عبر طرحها بديلاً مناسباً لبايدن، بينما ذُكر أن نشطاء حقوق الإجهاض زادت شعبيتها لديهم فقط.</x:v>
      </x:c>
      <x:c r="K22" s="42" t="n">
        <x:v>0</x:v>
      </x:c>
      <x:c r="L22" s="42" t="str">
        <x:v>No</x:v>
      </x:c>
      <x:c r="M22" s="42" t="str">
        <x:v>Yes</x:v>
      </x:c>
      <x:c r="N22" s="42" t="str">
        <x:v>Yes</x:v>
      </x:c>
      <x:c r="O22" s="14" t="str">
        <x:v>Reverses the comparison and says the political figures showed greater support.</x:v>
      </x:c>
      <x:c r="P22" s="46" t="n">
        <x:v>21977</x:v>
      </x:c>
      <x:c r="Q22" s="47" t="n">
        <x:v>68</x:v>
      </x:c>
    </x:row>
    <x:row r="23" ht="30" customHeight="1">
      <x:c r="A23" s="34" t="str">
        <x:v>8</x:v>
      </x:c>
      <x:c r="B23" s="35" t="str">
        <x:v>76</x:v>
      </x:c>
      <x:c r="C23" s="35" t="str">
        <x:v>es</x:v>
      </x:c>
      <x:c r="D23" s="35" t="str">
        <x:v>mono_retrieval</x:v>
      </x:c>
      <x:c r="E23" s="35" t="str">
        <x:v>comparison</x:v>
      </x:c>
      <x:c r="F23" s="35" t="str">
        <x:v>0</x:v>
      </x:c>
      <x:c r="G23" s="35" t="str">
        <x:v>no_documents</x:v>
      </x:c>
      <x:c r="H23" s="14" t="str">
        <x:v>¿Qué equipo juega contra Croacia el 15 de junio, España o Inglaterra?</x:v>
      </x:c>
      <x:c r="I23" s="14" t="str">
        <x:v>España</x:v>
      </x:c>
      <x:c r="J23" s="14" t="str">
        <x:v>España juega contra Croacia el 15 de junio.</x:v>
      </x:c>
      <x:c r="K23" s="42" t="n">
        <x:v>2</x:v>
      </x:c>
      <x:c r="L23" s="42" t="str">
        <x:v>No</x:v>
      </x:c>
      <x:c r="M23" s="42" t="str">
        <x:v>Yes</x:v>
      </x:c>
      <x:c r="N23" s="42" t="str">
        <x:v>No</x:v>
      </x:c>
      <x:c r="O23" s="14" t="str">
        <x:v>Correctly identifies Spain.</x:v>
      </x:c>
      <x:c r="P23" s="46" t="n">
        <x:v>154</x:v>
      </x:c>
      <x:c r="Q23" s="47" t="n">
        <x:v>15</x:v>
      </x:c>
    </x:row>
    <x:row r="24" ht="30" customHeight="1">
      <x:c r="A24" s="34" t="str">
        <x:v>8</x:v>
      </x:c>
      <x:c r="B24" s="35" t="str">
        <x:v>76</x:v>
      </x:c>
      <x:c r="C24" s="35" t="str">
        <x:v>es</x:v>
      </x:c>
      <x:c r="D24" s="35" t="str">
        <x:v>mono_retrieval</x:v>
      </x:c>
      <x:c r="E24" s="35" t="str">
        <x:v>comparison</x:v>
      </x:c>
      <x:c r="F24" s="35" t="str">
        <x:v>0</x:v>
      </x:c>
      <x:c r="G24" s="35" t="str">
        <x:v>support_only</x:v>
      </x:c>
      <x:c r="H24" s="14" t="str">
        <x:v>¿Qué equipo juega contra Croacia el 15 de junio, España o Inglaterra?</x:v>
      </x:c>
      <x:c r="I24" s="14" t="str">
        <x:v>España</x:v>
      </x:c>
      <x:c r="J24" s="14" t="str">
        <x:v>España juega contra Croacia el 15 de junio.</x:v>
      </x:c>
      <x:c r="K24" s="42" t="n">
        <x:v>2</x:v>
      </x:c>
      <x:c r="L24" s="42" t="str">
        <x:v>No</x:v>
      </x:c>
      <x:c r="M24" s="42" t="str">
        <x:v>Yes</x:v>
      </x:c>
      <x:c r="N24" s="42" t="str">
        <x:v>No</x:v>
      </x:c>
      <x:c r="O24" s="14" t="str">
        <x:v>Correctly identifies Spain.</x:v>
      </x:c>
      <x:c r="P24" s="46" t="n">
        <x:v>1475</x:v>
      </x:c>
      <x:c r="Q24" s="47" t="n">
        <x:v>15</x:v>
      </x:c>
    </x:row>
    <x:row r="25" ht="30" customHeight="1">
      <x:c r="A25" s="34" t="str">
        <x:v>8</x:v>
      </x:c>
      <x:c r="B25" s="35" t="str">
        <x:v>76</x:v>
      </x:c>
      <x:c r="C25" s="35" t="str">
        <x:v>es</x:v>
      </x:c>
      <x:c r="D25" s="35" t="str">
        <x:v>mono_retrieval</x:v>
      </x:c>
      <x:c r="E25" s="35" t="str">
        <x:v>comparison</x:v>
      </x:c>
      <x:c r="F25" s="35" t="str">
        <x:v>0</x:v>
      </x:c>
      <x:c r="G25" s="35" t="str">
        <x:v>all_documents</x:v>
      </x:c>
      <x:c r="H25" s="14" t="str">
        <x:v>¿Qué equipo juega contra Croacia el 15 de junio, España o Inglaterra?</x:v>
      </x:c>
      <x:c r="I25" s="14" t="str">
        <x:v>España</x:v>
      </x:c>
      <x:c r="J25" s="14" t="str">
        <x:v>España juega contra Croacia el 15 de junio.</x:v>
      </x:c>
      <x:c r="K25" s="42" t="n">
        <x:v>2</x:v>
      </x:c>
      <x:c r="L25" s="42" t="str">
        <x:v>No</x:v>
      </x:c>
      <x:c r="M25" s="42" t="str">
        <x:v>Yes</x:v>
      </x:c>
      <x:c r="N25" s="42" t="str">
        <x:v>No</x:v>
      </x:c>
      <x:c r="O25" s="14" t="str">
        <x:v>Correctly identifies Spain.</x:v>
      </x:c>
      <x:c r="P25" s="46" t="n">
        <x:v>14881</x:v>
      </x:c>
      <x:c r="Q25" s="47" t="n">
        <x:v>15</x:v>
      </x:c>
    </x:row>
    <x:row r="26" ht="30" customHeight="1">
      <x:c r="A26" s="34" t="str">
        <x:v>9</x:v>
      </x:c>
      <x:c r="B26" s="35" t="str">
        <x:v>181</x:v>
      </x:c>
      <x:c r="C26" s="35" t="str">
        <x:v>ar</x:v>
      </x:c>
      <x:c r="D26" s="35" t="str">
        <x:v>multi_retrieval</x:v>
      </x:c>
      <x:c r="E26" s="35" t="str">
        <x:v>comparison</x:v>
      </x:c>
      <x:c r="F26" s="35" t="str">
        <x:v>0</x:v>
      </x:c>
      <x:c r="G26" s="35" t="str">
        <x:v>no_documents</x:v>
      </x:c>
      <x:c r="H26" s="14" t="str">
        <x:v>هل فازت الصين أم فرنسا بعدد أكبر من الميداليات في أولمبياد باريس 2024؟</x:v>
      </x:c>
      <x:c r="I26" s="14" t="str">
        <x:v>فازت الصين بعدد من الميداليات يفوق ما فازت به فرنسا في أولمبياد باريس 2024.</x:v>
      </x:c>
      <x:c r="J26" s="14" t="str">
        <x:v>فازت الصين بعدد أكبر من الميداليات من فرنسا في أولمبياد باريس 2024.</x:v>
      </x:c>
      <x:c r="K26" s="42" t="n">
        <x:v>2</x:v>
      </x:c>
      <x:c r="L26" s="42" t="str">
        <x:v>No</x:v>
      </x:c>
      <x:c r="M26" s="42" t="str">
        <x:v>Yes</x:v>
      </x:c>
      <x:c r="N26" s="42" t="str">
        <x:v>No</x:v>
      </x:c>
      <x:c r="O26" s="14" t="str">
        <x:v>Correctly identifies China.</x:v>
      </x:c>
      <x:c r="P26" s="46" t="n">
        <x:v>162</x:v>
      </x:c>
      <x:c r="Q26" s="47" t="n">
        <x:v>27</x:v>
      </x:c>
    </x:row>
    <x:row r="27" ht="30" customHeight="1">
      <x:c r="A27" s="34" t="str">
        <x:v>9</x:v>
      </x:c>
      <x:c r="B27" s="35" t="str">
        <x:v>181</x:v>
      </x:c>
      <x:c r="C27" s="35" t="str">
        <x:v>ar</x:v>
      </x:c>
      <x:c r="D27" s="35" t="str">
        <x:v>multi_retrieval</x:v>
      </x:c>
      <x:c r="E27" s="35" t="str">
        <x:v>comparison</x:v>
      </x:c>
      <x:c r="F27" s="35" t="str">
        <x:v>0</x:v>
      </x:c>
      <x:c r="G27" s="35" t="str">
        <x:v>support_only</x:v>
      </x:c>
      <x:c r="H27" s="14" t="str">
        <x:v>هل فازت الصين أم فرنسا بعدد أكبر من الميداليات في أولمبياد باريس 2024؟</x:v>
      </x:c>
      <x:c r="I27" s="14" t="str">
        <x:v>فازت الصين بعدد من الميداليات يفوق ما فازت به فرنسا في أولمبياد باريس 2024.</x:v>
      </x:c>
      <x:c r="J27" s="14" t="str">
        <x:v>فازت الصين بعدد أكبر من الميداليات في أولمبياد باريس 2024، إذ حصدت 91 ميدالية مقابل 64 ميدالية لفرنسا.</x:v>
      </x:c>
      <x:c r="K27" s="42" t="n">
        <x:v>2</x:v>
      </x:c>
      <x:c r="L27" s="42" t="str">
        <x:v>No</x:v>
      </x:c>
      <x:c r="M27" s="42" t="str">
        <x:v>Yes</x:v>
      </x:c>
      <x:c r="N27" s="42" t="str">
        <x:v>No</x:v>
      </x:c>
      <x:c r="O27" s="14" t="str">
        <x:v>Correctly identifies China and provides matching medal totals.</x:v>
      </x:c>
      <x:c r="P27" s="46" t="n">
        <x:v>2225</x:v>
      </x:c>
      <x:c r="Q27" s="47" t="n">
        <x:v>45</x:v>
      </x:c>
    </x:row>
    <x:row r="28" ht="30" customHeight="1">
      <x:c r="A28" s="34" t="str">
        <x:v>9</x:v>
      </x:c>
      <x:c r="B28" s="35" t="str">
        <x:v>181</x:v>
      </x:c>
      <x:c r="C28" s="35" t="str">
        <x:v>ar</x:v>
      </x:c>
      <x:c r="D28" s="35" t="str">
        <x:v>multi_retrieval</x:v>
      </x:c>
      <x:c r="E28" s="35" t="str">
        <x:v>comparison</x:v>
      </x:c>
      <x:c r="F28" s="35" t="str">
        <x:v>0</x:v>
      </x:c>
      <x:c r="G28" s="35" t="str">
        <x:v>all_documents</x:v>
      </x:c>
      <x:c r="H28" s="14" t="str">
        <x:v>هل فازت الصين أم فرنسا بعدد أكبر من الميداليات في أولمبياد باريس 2024؟</x:v>
      </x:c>
      <x:c r="I28" s="14" t="str">
        <x:v>فازت الصين بعدد من الميداليات يفوق ما فازت به فرنسا في أولمبياد باريس 2024.</x:v>
      </x:c>
      <x:c r="J28" s="14" t="str">
        <x:v>فازت الصين بعدد أكبر من الميداليات في أولمبياد باريس 2024، إذ حصدت 91 ميدالية مقابل 64 لفرنسا.</x:v>
      </x:c>
      <x:c r="K28" s="42" t="n">
        <x:v>2</x:v>
      </x:c>
      <x:c r="L28" s="42" t="str">
        <x:v>No</x:v>
      </x:c>
      <x:c r="M28" s="42" t="str">
        <x:v>Yes</x:v>
      </x:c>
      <x:c r="N28" s="42" t="str">
        <x:v>No</x:v>
      </x:c>
      <x:c r="O28" s="14" t="str">
        <x:v>Correctly identifies China and provides matching medal totals.</x:v>
      </x:c>
      <x:c r="P28" s="46" t="n">
        <x:v>11866</x:v>
      </x:c>
      <x:c r="Q28" s="47" t="n">
        <x:v>42</x:v>
      </x:c>
    </x:row>
    <x:row r="29" ht="30" customHeight="1">
      <x:c r="A29" s="34" t="str">
        <x:v>10</x:v>
      </x:c>
      <x:c r="B29" s="35" t="str">
        <x:v>513</x:v>
      </x:c>
      <x:c r="C29" s="35" t="str">
        <x:v>es</x:v>
      </x:c>
      <x:c r="D29" s="35" t="str">
        <x:v>multi_retrieval</x:v>
      </x:c>
      <x:c r="E29" s="35" t="str">
        <x:v>comparison</x:v>
      </x:c>
      <x:c r="F29" s="35" t="str">
        <x:v>2</x:v>
      </x:c>
      <x:c r="G29" s="35" t="str">
        <x:v>no_documents</x:v>
      </x:c>
      <x:c r="H29" s="14" t="str">
        <x:v>¿Qué ataque causó más muertes: el ataque con buscapersonas o el ataque con dispositivos explosivos?</x:v>
      </x:c>
      <x:c r="I29" s="14" t="str">
        <x:v>El ataque con dispositivos explosivos causó más muertes, 24 personas fallecidas, en comparación con el ataque con buscapersonas, que causó al menos nueve muertes.</x:v>
      </x:c>
      <x:c r="J29" s="14" t="str">
        <x:v>El ataque con dispositivos explosivos causó más muertes que el ataque con buscapersonas.</x:v>
      </x:c>
      <x:c r="K29" s="42" t="n">
        <x:v>2</x:v>
      </x:c>
      <x:c r="L29" s="42" t="str">
        <x:v>No</x:v>
      </x:c>
      <x:c r="M29" s="42" t="str">
        <x:v>Yes</x:v>
      </x:c>
      <x:c r="N29" s="42" t="str">
        <x:v>No</x:v>
      </x:c>
      <x:c r="O29" s="14" t="str">
        <x:v>Correctly identifies the explosive-device attack as causing more deaths.</x:v>
      </x:c>
      <x:c r="P29" s="46" t="n">
        <x:v>161</x:v>
      </x:c>
      <x:c r="Q29" s="47" t="n">
        <x:v>24</x:v>
      </x:c>
    </x:row>
    <x:row r="30" ht="30" customHeight="1">
      <x:c r="A30" s="34" t="str">
        <x:v>10</x:v>
      </x:c>
      <x:c r="B30" s="35" t="str">
        <x:v>513</x:v>
      </x:c>
      <x:c r="C30" s="35" t="str">
        <x:v>es</x:v>
      </x:c>
      <x:c r="D30" s="35" t="str">
        <x:v>multi_retrieval</x:v>
      </x:c>
      <x:c r="E30" s="35" t="str">
        <x:v>comparison</x:v>
      </x:c>
      <x:c r="F30" s="35" t="str">
        <x:v>2</x:v>
      </x:c>
      <x:c r="G30" s="35" t="str">
        <x:v>support_only</x:v>
      </x:c>
      <x:c r="H30" s="14" t="str">
        <x:v>¿Qué ataque causó más muertes: el ataque con buscapersonas o el ataque con dispositivos explosivos?</x:v>
      </x:c>
      <x:c r="I30" s="14" t="str">
        <x:v>El ataque con dispositivos explosivos causó más muertes, 24 personas fallecidas, en comparación con el ataque con buscapersonas, que causó al menos nueve muertes.</x:v>
      </x:c>
      <x:c r="J30" s="14" t="str">
        <x:v>Según los reportes citados, el ataque con dispositivos explosivos causó más muertes: 24 en total en dos oleadas, frente a 12 muertos del ataque con buscapersonas inicial.</x:v>
      </x:c>
      <x:c r="K30" s="42" t="n">
        <x:v>1</x:v>
      </x:c>
      <x:c r="L30" s="42" t="str">
        <x:v>No</x:v>
      </x:c>
      <x:c r="M30" s="42" t="str">
        <x:v>Yes</x:v>
      </x:c>
      <x:c r="N30" s="42" t="str">
        <x:v>Yes</x:v>
      </x:c>
      <x:c r="O30" s="14" t="str">
        <x:v>Gets the comparison right but gives 12 pager deaths instead of the reference figure of at least nine.</x:v>
      </x:c>
      <x:c r="P30" s="46" t="n">
        <x:v>3796</x:v>
      </x:c>
      <x:c r="Q30" s="47" t="n">
        <x:v>46</x:v>
      </x:c>
    </x:row>
    <x:row r="31" ht="30" customHeight="1">
      <x:c r="A31" s="34" t="str">
        <x:v>10</x:v>
      </x:c>
      <x:c r="B31" s="35" t="str">
        <x:v>513</x:v>
      </x:c>
      <x:c r="C31" s="35" t="str">
        <x:v>es</x:v>
      </x:c>
      <x:c r="D31" s="35" t="str">
        <x:v>multi_retrieval</x:v>
      </x:c>
      <x:c r="E31" s="35" t="str">
        <x:v>comparison</x:v>
      </x:c>
      <x:c r="F31" s="35" t="str">
        <x:v>2</x:v>
      </x:c>
      <x:c r="G31" s="35" t="str">
        <x:v>all_documents</x:v>
      </x:c>
      <x:c r="H31" s="14" t="str">
        <x:v>¿Qué ataque causó más muertes: el ataque con buscapersonas o el ataque con dispositivos explosivos?</x:v>
      </x:c>
      <x:c r="I31" s="14" t="str">
        <x:v>El ataque con dispositivos explosivos causó más muertes, 24 personas fallecidas, en comparación con el ataque con buscapersonas, que causó al menos nueve muertes.</x:v>
      </x:c>
      <x:c r="J31" s="14" t="str">
        <x:v>Según los reportes citados, el ataque con dispositivos explosivos causó más muertes: 12 en el primer ataque y otras 12 en el segundo, frente a al menos 9 del ataque con buscapersonas.</x:v>
      </x:c>
      <x:c r="K31" s="42" t="n">
        <x:v>1</x:v>
      </x:c>
      <x:c r="L31" s="42" t="str">
        <x:v>No</x:v>
      </x:c>
      <x:c r="M31" s="42" t="str">
        <x:v>Yes</x:v>
      </x:c>
      <x:c r="N31" s="42" t="str">
        <x:v>Yes</x:v>
      </x:c>
      <x:c r="O31" s="14" t="str">
        <x:v>Gets the comparison right but mixes the casualty counts and does not match the reference comparison of 24 versus at least nine.</x:v>
      </x:c>
      <x:c r="P31" s="46" t="n">
        <x:v>16831</x:v>
      </x:c>
      <x:c r="Q31" s="47" t="n">
        <x:v>51</x:v>
      </x:c>
    </x:row>
    <x:row r="32" ht="30" customHeight="1">
      <x:c r="A32" s="34" t="str">
        <x:v>11</x:v>
      </x:c>
      <x:c r="B32" s="35" t="str">
        <x:v>58</x:v>
      </x:c>
      <x:c r="C32" s="35" t="str">
        <x:v>ar</x:v>
      </x:c>
      <x:c r="D32" s="35" t="str">
        <x:v>mono_retrieval</x:v>
      </x:c>
      <x:c r="E32" s="35" t="str">
        <x:v>set</x:v>
      </x:c>
      <x:c r="F32" s="35" t="str">
        <x:v>0</x:v>
      </x:c>
      <x:c r="G32" s="35" t="str">
        <x:v>no_documents</x:v>
      </x:c>
      <x:c r="H32" s="14" t="str">
        <x:v>من هم الحكام الذين أداروا أبرز المباريات النهائية في البطولات الدولية لكرة القدم؟</x:v>
      </x:c>
      <x:c r="I32" s="14"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2" s="14" t="str">
        <x:v>من أبرزهم الإنجليزي هوارد ويب لنهائي كأس العالم 2010، والإيطالي نيكولا ريتزولي لنهائي 2014، والأرجنتيني نيستور بيتانا لنهائي 2018، والبولندي سيمون مارتشينياك لنهائي 2022.</x:v>
      </x:c>
      <x:c r="K32" s="42" t="n">
        <x:v>1</x:v>
      </x:c>
      <x:c r="L32" s="42" t="str">
        <x:v>No</x:v>
      </x:c>
      <x:c r="M32" s="42" t="str">
        <x:v>Yes</x:v>
      </x:c>
      <x:c r="N32" s="42" t="str">
        <x:v>Yes</x:v>
      </x:c>
      <x:c r="O32" s="14" t="str">
        <x:v>Includes Marciniak but omits Turpin and adds several referees not required by the reference answer.</x:v>
      </x:c>
      <x:c r="P32" s="46" t="n">
        <x:v>158</x:v>
      </x:c>
      <x:c r="Q32" s="47" t="n">
        <x:v>71</x:v>
      </x:c>
    </x:row>
    <x:row r="33" ht="30" customHeight="1">
      <x:c r="A33" s="34" t="str">
        <x:v>11</x:v>
      </x:c>
      <x:c r="B33" s="35" t="str">
        <x:v>58</x:v>
      </x:c>
      <x:c r="C33" s="35" t="str">
        <x:v>ar</x:v>
      </x:c>
      <x:c r="D33" s="35" t="str">
        <x:v>mono_retrieval</x:v>
      </x:c>
      <x:c r="E33" s="35" t="str">
        <x:v>set</x:v>
      </x:c>
      <x:c r="F33" s="35" t="str">
        <x:v>0</x:v>
      </x:c>
      <x:c r="G33" s="35" t="str">
        <x:v>support_only</x:v>
      </x:c>
      <x:c r="H33" s="14" t="str">
        <x:v>من هم الحكام الذين أداروا أبرز المباريات النهائية في البطولات الدولية لكرة القدم؟</x:v>
      </x:c>
      <x:c r="I33" s="14"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3" s="14" t="str">
        <x:v>بحسب التقرير، من أبرزهم سيمون مارتشينياك الذي أدار نهائي كأس العالم 2022، ودانييلي أورساتو نصف نهائي المونديال 2022 ونهائي دوري الأبطال 2020، وكليمان توربان نهائي دوري الأبطال 2022.</x:v>
      </x:c>
      <x:c r="K33" s="42" t="n">
        <x:v>1</x:v>
      </x:c>
      <x:c r="L33" s="42" t="str">
        <x:v>No</x:v>
      </x:c>
      <x:c r="M33" s="42" t="str">
        <x:v>Yes</x:v>
      </x:c>
      <x:c r="N33" s="42" t="str">
        <x:v>No</x:v>
      </x:c>
      <x:c r="O33" s="14" t="str">
        <x:v>Includes Marciniak and Turpin, but omits reference details and adds Orsato.</x:v>
      </x:c>
      <x:c r="P33" s="46" t="n">
        <x:v>2079</x:v>
      </x:c>
      <x:c r="Q33" s="47" t="n">
        <x:v>70</x:v>
      </x:c>
    </x:row>
    <x:row r="34" ht="30" customHeight="1">
      <x:c r="A34" s="34" t="str">
        <x:v>11</x:v>
      </x:c>
      <x:c r="B34" s="35" t="str">
        <x:v>58</x:v>
      </x:c>
      <x:c r="C34" s="35" t="str">
        <x:v>ar</x:v>
      </x:c>
      <x:c r="D34" s="35" t="str">
        <x:v>mono_retrieval</x:v>
      </x:c>
      <x:c r="E34" s="35" t="str">
        <x:v>set</x:v>
      </x:c>
      <x:c r="F34" s="35" t="str">
        <x:v>0</x:v>
      </x:c>
      <x:c r="G34" s="35" t="str">
        <x:v>all_documents</x:v>
      </x:c>
      <x:c r="H34" s="14" t="str">
        <x:v>من هم الحكام الذين أداروا أبرز المباريات النهائية في البطولات الدولية لكرة القدم؟</x:v>
      </x:c>
      <x:c r="I34" s="14"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4" s="14" t="str">
        <x:v>بحسب التقارير، من أبرزهم مارك كلاتنبيرغ، هوارد ويب، سيمون مارشينياك، دانييلي أورساتو، كليمان توربان، ومايكل أوليفر، إذ أدار بعضهم نهائيات كأس العالم أو دوري الأبطال أو اليورو.</x:v>
      </x:c>
      <x:c r="K34" s="42" t="n">
        <x:v>1</x:v>
      </x:c>
      <x:c r="L34" s="42" t="str">
        <x:v>No</x:v>
      </x:c>
      <x:c r="M34" s="42" t="str">
        <x:v>Yes</x:v>
      </x:c>
      <x:c r="N34" s="42" t="str">
        <x:v>Yes</x:v>
      </x:c>
      <x:c r="O34" s="14" t="str">
        <x:v>Includes Marciniak and Turpin among a broad list, but the answer is not precise enough to match the reference.</x:v>
      </x:c>
      <x:c r="P34" s="46" t="n">
        <x:v>15719</x:v>
      </x:c>
      <x:c r="Q34" s="47" t="n">
        <x:v>71</x:v>
      </x:c>
    </x:row>
    <x:row r="35" ht="30" customHeight="1">
      <x:c r="A35" s="34" t="str">
        <x:v>12</x:v>
      </x:c>
      <x:c r="B35" s="35" t="str">
        <x:v>1556</x:v>
      </x:c>
      <x:c r="C35" s="35" t="str">
        <x:v>ar</x:v>
      </x:c>
      <x:c r="D35" s="35" t="str">
        <x:v>mono_retrieval</x:v>
      </x:c>
      <x:c r="E35" s="35" t="str">
        <x:v>set</x:v>
      </x:c>
      <x:c r="F35" s="35" t="str">
        <x:v>0</x:v>
      </x:c>
      <x:c r="G35" s="35" t="str">
        <x:v>no_documents</x:v>
      </x:c>
      <x:c r="H35" s="14" t="str">
        <x:v>ما الرموز التي تم استبدالها على تمثال الوطن الأم في كييف بأوكرانيا؟</x:v>
      </x:c>
      <x:c r="I35" s="14" t="str">
        <x:v>استبدلت أوكرانيا المطرقة والمنجل السوفييتيين على تمثال الوطن الأم في كييف بشعار النبالة الأوكراني ذي الرؤوس الثلاثة</x:v>
      </x:c>
      <x:c r="J35" s="14" t="str">
        <x:v>استُبدل على درع تمثال الوطن الأم في كييف شعار المطرقة والمنجل السوفيتي بشعار الترايدنت، وهو شعار الدولة الأوكرانية.</x:v>
      </x:c>
      <x:c r="K35" s="42" t="n">
        <x:v>2</x:v>
      </x:c>
      <x:c r="L35" s="42" t="str">
        <x:v>No</x:v>
      </x:c>
      <x:c r="M35" s="42" t="str">
        <x:v>Yes</x:v>
      </x:c>
      <x:c r="N35" s="42" t="str">
        <x:v>No</x:v>
      </x:c>
      <x:c r="O35" s="14" t="str">
        <x:v>Correctly states that the Soviet hammer and sickle were replaced by the Ukrainian trident.</x:v>
      </x:c>
      <x:c r="P35" s="46" t="n">
        <x:v>160</x:v>
      </x:c>
      <x:c r="Q35" s="47" t="n">
        <x:v>40</x:v>
      </x:c>
    </x:row>
    <x:row r="36" ht="30" customHeight="1">
      <x:c r="A36" s="34" t="str">
        <x:v>12</x:v>
      </x:c>
      <x:c r="B36" s="35" t="str">
        <x:v>1556</x:v>
      </x:c>
      <x:c r="C36" s="35" t="str">
        <x:v>ar</x:v>
      </x:c>
      <x:c r="D36" s="35" t="str">
        <x:v>mono_retrieval</x:v>
      </x:c>
      <x:c r="E36" s="35" t="str">
        <x:v>set</x:v>
      </x:c>
      <x:c r="F36" s="35" t="str">
        <x:v>0</x:v>
      </x:c>
      <x:c r="G36" s="35" t="str">
        <x:v>support_only</x:v>
      </x:c>
      <x:c r="H36" s="14" t="str">
        <x:v>ما الرموز التي تم استبدالها على تمثال الوطن الأم في كييف بأوكرانيا؟</x:v>
      </x:c>
      <x:c r="I36" s="14" t="str">
        <x:v>استبدلت أوكرانيا المطرقة والمنجل السوفييتيين على تمثال الوطن الأم في كييف بشعار النبالة الأوكراني ذي الرؤوس الثلاثة</x:v>
      </x:c>
      <x:c r="J36" s="14" t="str">
        <x:v>استُبدل على درع تمثال الوطن الأم في كييف شعار المطرقة والمنجل السوفيتي بشعار الترايدنت، وهو شعار النبالة الأوكراني.</x:v>
      </x:c>
      <x:c r="K36" s="42" t="n">
        <x:v>2</x:v>
      </x:c>
      <x:c r="L36" s="42" t="str">
        <x:v>No</x:v>
      </x:c>
      <x:c r="M36" s="42" t="str">
        <x:v>Yes</x:v>
      </x:c>
      <x:c r="N36" s="42" t="str">
        <x:v>No</x:v>
      </x:c>
      <x:c r="O36" s="14" t="str">
        <x:v>Correctly states that the Soviet hammer and sickle were replaced by the Ukrainian trident.</x:v>
      </x:c>
      <x:c r="P36" s="46" t="n">
        <x:v>1560</x:v>
      </x:c>
      <x:c r="Q36" s="47" t="n">
        <x:v>42</x:v>
      </x:c>
    </x:row>
    <x:row r="37" ht="30" customHeight="1">
      <x:c r="A37" s="34" t="str">
        <x:v>12</x:v>
      </x:c>
      <x:c r="B37" s="35" t="str">
        <x:v>1556</x:v>
      </x:c>
      <x:c r="C37" s="35" t="str">
        <x:v>ar</x:v>
      </x:c>
      <x:c r="D37" s="35" t="str">
        <x:v>mono_retrieval</x:v>
      </x:c>
      <x:c r="E37" s="35" t="str">
        <x:v>set</x:v>
      </x:c>
      <x:c r="F37" s="35" t="str">
        <x:v>0</x:v>
      </x:c>
      <x:c r="G37" s="35" t="str">
        <x:v>all_documents</x:v>
      </x:c>
      <x:c r="H37" s="14" t="str">
        <x:v>ما الرموز التي تم استبدالها على تمثال الوطن الأم في كييف بأوكرانيا؟</x:v>
      </x:c>
      <x:c r="I37" s="14" t="str">
        <x:v>استبدلت أوكرانيا المطرقة والمنجل السوفييتيين على تمثال الوطن الأم في كييف بشعار النبالة الأوكراني ذي الرؤوس الثلاثة</x:v>
      </x:c>
      <x:c r="J37" s="14" t="str">
        <x:v>بحسب التقارير، استُبدل على درع تمثال الوطن الأم في كييف شعار المطرقة والمنجل السوفيتي بشعار أوكرانيا، الترايدنت أو الرمح الثلاثي.</x:v>
      </x:c>
      <x:c r="K37" s="42" t="n">
        <x:v>2</x:v>
      </x:c>
      <x:c r="L37" s="42" t="str">
        <x:v>No</x:v>
      </x:c>
      <x:c r="M37" s="42" t="str">
        <x:v>Yes</x:v>
      </x:c>
      <x:c r="N37" s="42" t="str">
        <x:v>No</x:v>
      </x:c>
      <x:c r="O37" s="14" t="str">
        <x:v>Correctly states that the Soviet hammer and sickle were replaced by the Ukrainian trident.</x:v>
      </x:c>
      <x:c r="P37" s="46" t="n">
        <x:v>15474</x:v>
      </x:c>
      <x:c r="Q37" s="47" t="n">
        <x:v>46</x:v>
      </x:c>
    </x:row>
    <x:row r="38" ht="30" customHeight="1">
      <x:c r="A38" s="34" t="str">
        <x:v>13</x:v>
      </x:c>
      <x:c r="B38" s="35" t="str">
        <x:v>342</x:v>
      </x:c>
      <x:c r="C38" s="35" t="str">
        <x:v>ar</x:v>
      </x:c>
      <x:c r="D38" s="35" t="str">
        <x:v>mono_retrieval</x:v>
      </x:c>
      <x:c r="E38" s="35" t="str">
        <x:v>aggregation</x:v>
      </x:c>
      <x:c r="F38" s="35" t="str">
        <x:v>1</x:v>
      </x:c>
      <x:c r="G38" s="35" t="str">
        <x:v>no_documents</x:v>
      </x:c>
      <x:c r="H38" s="14" t="str">
        <x:v>كم عدد القصص في الموسم الثالث من مسلسل "بريدجيرتون" التي أثارت ردود فعل متباينة بين المعجبين؟</x:v>
      </x:c>
      <x:c r="I38" s="14" t="str">
        <x:v>أثارت قصتان في الموسم الثالث من مسلسل "بريدجيرتون" ردود فعل متباينة بين المعجبين.</x:v>
      </x:c>
      <x:c r="J38" s="14" t="str">
        <x:v>أثار الموسم الثالث من «بريدجيرتون» ردود فعل متباينة بين المعجبين بشأن قصتين.</x:v>
      </x:c>
      <x:c r="K38" s="42" t="n">
        <x:v>2</x:v>
      </x:c>
      <x:c r="L38" s="42" t="str">
        <x:v>No</x:v>
      </x:c>
      <x:c r="M38" s="42" t="str">
        <x:v>Yes</x:v>
      </x:c>
      <x:c r="N38" s="42" t="str">
        <x:v>No</x:v>
      </x:c>
      <x:c r="O38" s="14" t="str">
        <x:v>Correctly gives the requested count of two stories.</x:v>
      </x:c>
      <x:c r="P38" s="46" t="n">
        <x:v>167</x:v>
      </x:c>
      <x:c r="Q38" s="47" t="n">
        <x:v>29</x:v>
      </x:c>
    </x:row>
    <x:row r="39" ht="30" customHeight="1">
      <x:c r="A39" s="34" t="str">
        <x:v>13</x:v>
      </x:c>
      <x:c r="B39" s="35" t="str">
        <x:v>342</x:v>
      </x:c>
      <x:c r="C39" s="35" t="str">
        <x:v>ar</x:v>
      </x:c>
      <x:c r="D39" s="35" t="str">
        <x:v>mono_retrieval</x:v>
      </x:c>
      <x:c r="E39" s="35" t="str">
        <x:v>aggregation</x:v>
      </x:c>
      <x:c r="F39" s="35" t="str">
        <x:v>1</x:v>
      </x:c>
      <x:c r="G39" s="35" t="str">
        <x:v>support_only</x:v>
      </x:c>
      <x:c r="H39" s="14" t="str">
        <x:v>كم عدد القصص في الموسم الثالث من مسلسل "بريدجيرتون" التي أثارت ردود فعل متباينة بين المعجبين؟</x:v>
      </x:c>
      <x:c r="I39" s="14" t="str">
        <x:v>أثارت قصتان في الموسم الثالث من مسلسل "بريدجيرتون" ردود فعل متباينة بين المعجبين.</x:v>
      </x:c>
      <x:c r="J39" s="14" t="str">
        <x:v>بحسب التغطية، كان الموسم الثالث يضم قصتين أثارتا ردود فعل متباينة بين المعجبين: قصة حب بينيلوبي وكولين، وقصة فرانشيسكا مع ميكايلا ستيرلينغ بعد تغيير جنس الشخصية.</x:v>
      </x:c>
      <x:c r="K39" s="42" t="n">
        <x:v>2</x:v>
      </x:c>
      <x:c r="L39" s="42" t="str">
        <x:v>No</x:v>
      </x:c>
      <x:c r="M39" s="42" t="str">
        <x:v>Yes</x:v>
      </x:c>
      <x:c r="N39" s="42" t="str">
        <x:v>No</x:v>
      </x:c>
      <x:c r="O39" s="14" t="str">
        <x:v>Correctly gives two stories and identifies both storylines.</x:v>
      </x:c>
      <x:c r="P39" s="46" t="n">
        <x:v>5669</x:v>
      </x:c>
      <x:c r="Q39" s="47" t="n">
        <x:v>59</x:v>
      </x:c>
    </x:row>
    <x:row r="40" ht="30" customHeight="1">
      <x:c r="A40" s="34" t="str">
        <x:v>13</x:v>
      </x:c>
      <x:c r="B40" s="35" t="str">
        <x:v>342</x:v>
      </x:c>
      <x:c r="C40" s="35" t="str">
        <x:v>ar</x:v>
      </x:c>
      <x:c r="D40" s="35" t="str">
        <x:v>mono_retrieval</x:v>
      </x:c>
      <x:c r="E40" s="35" t="str">
        <x:v>aggregation</x:v>
      </x:c>
      <x:c r="F40" s="35" t="str">
        <x:v>1</x:v>
      </x:c>
      <x:c r="G40" s="35" t="str">
        <x:v>all_documents</x:v>
      </x:c>
      <x:c r="H40" s="14" t="str">
        <x:v>كم عدد القصص في الموسم الثالث من مسلسل "بريدجيرتون" التي أثارت ردود فعل متباينة بين المعجبين؟</x:v>
      </x:c>
      <x:c r="I40" s="14" t="str">
        <x:v>أثارت قصتان في الموسم الثالث من مسلسل "بريدجيرتون" ردود فعل متباينة بين المعجبين.</x:v>
      </x:c>
      <x:c r="J40" s="14" t="str">
        <x:v>بحسب التغطية الإخبارية، كانت هناك قصتان أثارتا ردود فعل متباينة بين المعجبين في الموسم الثالث: قصة حب بينيلوبي وكولين، وتغيير جنس شخصية مايكل ستيرلينغ إلى ميكايلا في قصة فرانشيسكا.</x:v>
      </x:c>
      <x:c r="K40" s="42" t="n">
        <x:v>2</x:v>
      </x:c>
      <x:c r="L40" s="42" t="str">
        <x:v>No</x:v>
      </x:c>
      <x:c r="M40" s="42" t="str">
        <x:v>Yes</x:v>
      </x:c>
      <x:c r="N40" s="42" t="str">
        <x:v>No</x:v>
      </x:c>
      <x:c r="O40" s="14" t="str">
        <x:v>Correctly gives two stories and identifies both storylines.</x:v>
      </x:c>
      <x:c r="P40" s="46" t="n">
        <x:v>14663</x:v>
      </x:c>
      <x:c r="Q40" s="47" t="n">
        <x:v>64</x:v>
      </x:c>
    </x:row>
    <x:row r="41" ht="30" customHeight="1">
      <x:c r="A41" s="34" t="str">
        <x:v>14</x:v>
      </x:c>
      <x:c r="B41" s="35" t="str">
        <x:v>52</x:v>
      </x:c>
      <x:c r="C41" s="35" t="str">
        <x:v>ar</x:v>
      </x:c>
      <x:c r="D41" s="35" t="str">
        <x:v>multi_retrieval</x:v>
      </x:c>
      <x:c r="E41" s="35" t="str">
        <x:v>comparison</x:v>
      </x:c>
      <x:c r="F41" s="35" t="str">
        <x:v>2</x:v>
      </x:c>
      <x:c r="G41" s="35" t="str">
        <x:v>no_documents</x:v>
      </x:c>
      <x:c r="H41" s="14" t="str">
        <x:v>أي الحدثين وقع أولاً، اغتيال زعيم حماس إسماعيل هنية أم توقيع إعلان بكين؟</x:v>
      </x:c>
      <x:c r="I41" s="14" t="str">
        <x:v>وُقع على إعلان بكين (23 يوليو) أولاً.</x:v>
      </x:c>
      <x:c r="J41" s="14" t="str">
        <x:v>وقع توقيع إعلان بكين أولاً؛ إذ أُعلن في يوليو 2024، بينما اغتيل إسماعيل هنية لاحقاً في 31 يوليو 2024.</x:v>
      </x:c>
      <x:c r="K41" s="42" t="n">
        <x:v>2</x:v>
      </x:c>
      <x:c r="L41" s="42" t="str">
        <x:v>No</x:v>
      </x:c>
      <x:c r="M41" s="42" t="str">
        <x:v>Yes</x:v>
      </x:c>
      <x:c r="N41" s="42" t="str">
        <x:v>No</x:v>
      </x:c>
      <x:c r="O41" s="14" t="str">
        <x:v>Correctly identifies the Beijing Declaration as occurring first.</x:v>
      </x:c>
      <x:c r="P41" s="46" t="n">
        <x:v>165</x:v>
      </x:c>
      <x:c r="Q41" s="47" t="n">
        <x:v>43</x:v>
      </x:c>
    </x:row>
    <x:row r="42" ht="30" customHeight="1">
      <x:c r="A42" s="34" t="str">
        <x:v>14</x:v>
      </x:c>
      <x:c r="B42" s="35" t="str">
        <x:v>52</x:v>
      </x:c>
      <x:c r="C42" s="35" t="str">
        <x:v>ar</x:v>
      </x:c>
      <x:c r="D42" s="35" t="str">
        <x:v>multi_retrieval</x:v>
      </x:c>
      <x:c r="E42" s="35" t="str">
        <x:v>comparison</x:v>
      </x:c>
      <x:c r="F42" s="35" t="str">
        <x:v>2</x:v>
      </x:c>
      <x:c r="G42" s="35" t="str">
        <x:v>support_only</x:v>
      </x:c>
      <x:c r="H42" s="14" t="str">
        <x:v>أي الحدثين وقع أولاً، اغتيال زعيم حماس إسماعيل هنية أم توقيع إعلان بكين؟</x:v>
      </x:c>
      <x:c r="I42" s="14" t="str">
        <x:v>وُقع على إعلان بكين (23 يوليو) أولاً.</x:v>
      </x:c>
      <x:c r="J42" s="14" t="str">
        <x:v>وقع توقيع إعلان بكين أولاً في 23 يوليو 2024، ثم جاء اغتيال زعيم حماس إسماعيل هنية في 31 يوليو 2024.</x:v>
      </x:c>
      <x:c r="K42" s="42" t="n">
        <x:v>2</x:v>
      </x:c>
      <x:c r="L42" s="42" t="str">
        <x:v>No</x:v>
      </x:c>
      <x:c r="M42" s="42" t="str">
        <x:v>Yes</x:v>
      </x:c>
      <x:c r="N42" s="42" t="str">
        <x:v>No</x:v>
      </x:c>
      <x:c r="O42" s="14" t="str">
        <x:v>Correctly identifies the Beijing Declaration as occurring first and supplies the dates.</x:v>
      </x:c>
      <x:c r="P42" s="46" t="n">
        <x:v>3895</x:v>
      </x:c>
      <x:c r="Q42" s="47" t="n">
        <x:v>42</x:v>
      </x:c>
    </x:row>
    <x:row r="43" ht="30" customHeight="1">
      <x:c r="A43" s="34" t="str">
        <x:v>14</x:v>
      </x:c>
      <x:c r="B43" s="35" t="str">
        <x:v>52</x:v>
      </x:c>
      <x:c r="C43" s="35" t="str">
        <x:v>ar</x:v>
      </x:c>
      <x:c r="D43" s="35" t="str">
        <x:v>multi_retrieval</x:v>
      </x:c>
      <x:c r="E43" s="35" t="str">
        <x:v>comparison</x:v>
      </x:c>
      <x:c r="F43" s="35" t="str">
        <x:v>2</x:v>
      </x:c>
      <x:c r="G43" s="35" t="str">
        <x:v>all_documents</x:v>
      </x:c>
      <x:c r="H43" s="14" t="str">
        <x:v>أي الحدثين وقع أولاً، اغتيال زعيم حماس إسماعيل هنية أم توقيع إعلان بكين؟</x:v>
      </x:c>
      <x:c r="I43" s="14" t="str">
        <x:v>وُقع على إعلان بكين (23 يوليو) أولاً.</x:v>
      </x:c>
      <x:c r="J43" s="14" t="str">
        <x:v>وقع اغتيال إسماعيل هنية أولاً في 31 يوليو 2024، بينما جرى توقيع إعلان بكين في 23 يوليو 2024، لذا فإن توقيع إعلان بكين هو الذي وقع أولاً.</x:v>
      </x:c>
      <x:c r="K43" s="42" t="n">
        <x:v>1</x:v>
      </x:c>
      <x:c r="L43" s="42" t="str">
        <x:v>No</x:v>
      </x:c>
      <x:c r="M43" s="42" t="str">
        <x:v>Yes</x:v>
      </x:c>
      <x:c r="N43" s="42" t="str">
        <x:v>Yes</x:v>
      </x:c>
      <x:c r="O43" s="14" t="str">
        <x:v>Contains an internal contradiction: it initially says the assassination happened first, but its dates and conclusion correctly show the Beijing Declaration happened first.</x:v>
      </x:c>
      <x:c r="P43" s="46" t="n">
        <x:v>11999</x:v>
      </x:c>
      <x:c r="Q43" s="47" t="n">
        <x:v>52</x:v>
      </x:c>
    </x:row>
    <x:row r="44" ht="30" customHeight="1">
      <x:c r="A44" s="34" t="str">
        <x:v>15</x:v>
      </x:c>
      <x:c r="B44" s="35" t="str">
        <x:v>160</x:v>
      </x:c>
      <x:c r="C44" s="35" t="str">
        <x:v>es</x:v>
      </x:c>
      <x:c r="D44" s="35" t="str">
        <x:v>multi_retrieval</x:v>
      </x:c>
      <x:c r="E44" s="35" t="str">
        <x:v>comparison</x:v>
      </x:c>
      <x:c r="F44" s="35" t="str">
        <x:v>0</x:v>
      </x:c>
      <x:c r="G44" s="35" t="str">
        <x:v>no_documents</x:v>
      </x:c>
      <x:c r="H44" s="14" t="str">
        <x:v>¿Qué acuerdo entre Rusia y Corea del Norte incluye más áreas, la asociación integral o el pacto de asistencia mutua en caso de agresión?</x:v>
      </x:c>
      <x:c r="I44" s="14"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4" s="14" t="str">
        <x:v>La asociación integral entre Rusia y Corea del Norte incluye más áreas que el pacto de asistencia mutua en caso de agresión.</x:v>
      </x:c>
      <x:c r="K44" s="42" t="n">
        <x:v>2</x:v>
      </x:c>
      <x:c r="L44" s="42" t="str">
        <x:v>No</x:v>
      </x:c>
      <x:c r="M44" s="42" t="str">
        <x:v>Yes</x:v>
      </x:c>
      <x:c r="N44" s="42" t="str">
        <x:v>No</x:v>
      </x:c>
      <x:c r="O44" s="14" t="str">
        <x:v>Correctly identifies the comprehensive partnership as covering more areas.</x:v>
      </x:c>
      <x:c r="P44" s="46" t="n">
        <x:v>166</x:v>
      </x:c>
      <x:c r="Q44" s="47" t="n">
        <x:v>29</x:v>
      </x:c>
    </x:row>
    <x:row r="45" ht="30" customHeight="1">
      <x:c r="A45" s="34" t="str">
        <x:v>15</x:v>
      </x:c>
      <x:c r="B45" s="35" t="str">
        <x:v>160</x:v>
      </x:c>
      <x:c r="C45" s="35" t="str">
        <x:v>es</x:v>
      </x:c>
      <x:c r="D45" s="35" t="str">
        <x:v>multi_retrieval</x:v>
      </x:c>
      <x:c r="E45" s="35" t="str">
        <x:v>comparison</x:v>
      </x:c>
      <x:c r="F45" s="35" t="str">
        <x:v>0</x:v>
      </x:c>
      <x:c r="G45" s="35" t="str">
        <x:v>support_only</x:v>
      </x:c>
      <x:c r="H45" s="14" t="str">
        <x:v>¿Qué acuerdo entre Rusia y Corea del Norte incluye más áreas, la asociación integral o el pacto de asistencia mutua en caso de agresión?</x:v>
      </x:c>
      <x:c r="I45" s="14"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5" s="14" t="str">
        <x:v>La asociación integral incluye más áreas, porque abarca seguridad, comercio, inversión y vínculos culturales y humanitarios, mientras el pacto de asistencia mutua se refiere específicamente a ayudarse si uno es atacado.</x:v>
      </x:c>
      <x:c r="K45" s="42" t="n">
        <x:v>2</x:v>
      </x:c>
      <x:c r="L45" s="42" t="str">
        <x:v>No</x:v>
      </x:c>
      <x:c r="M45" s="42" t="str">
        <x:v>Yes</x:v>
      </x:c>
      <x:c r="N45" s="42" t="str">
        <x:v>No</x:v>
      </x:c>
      <x:c r="O45" s="14" t="str">
        <x:v>Correctly identifies the comprehensive partnership and explains its broader scope.</x:v>
      </x:c>
      <x:c r="P45" s="46" t="n">
        <x:v>1507</x:v>
      </x:c>
      <x:c r="Q45" s="47" t="n">
        <x:v>46</x:v>
      </x:c>
    </x:row>
    <x:row r="46" ht="30" customHeight="1">
      <x:c r="A46" s="34" t="str">
        <x:v>15</x:v>
      </x:c>
      <x:c r="B46" s="35" t="str">
        <x:v>160</x:v>
      </x:c>
      <x:c r="C46" s="35" t="str">
        <x:v>es</x:v>
      </x:c>
      <x:c r="D46" s="35" t="str">
        <x:v>multi_retrieval</x:v>
      </x:c>
      <x:c r="E46" s="35" t="str">
        <x:v>comparison</x:v>
      </x:c>
      <x:c r="F46" s="35" t="str">
        <x:v>0</x:v>
      </x:c>
      <x:c r="G46" s="35" t="str">
        <x:v>all_documents</x:v>
      </x:c>
      <x:c r="H46" s="14" t="str">
        <x:v>¿Qué acuerdo entre Rusia y Corea del Norte incluye más áreas, la asociación integral o el pacto de asistencia mutua en caso de agresión?</x:v>
      </x:c>
      <x:c r="I46" s="14"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6" s="14" t="str">
        <x:v>La asociación integral incluye más áreas, porque además de la asistencia mutua en caso de agresión abarca seguridad, comercio, inversión y vínculos culturales y humanitarios.</x:v>
      </x:c>
      <x:c r="K46" s="42" t="n">
        <x:v>2</x:v>
      </x:c>
      <x:c r="L46" s="42" t="str">
        <x:v>No</x:v>
      </x:c>
      <x:c r="M46" s="42" t="str">
        <x:v>Yes</x:v>
      </x:c>
      <x:c r="N46" s="42" t="str">
        <x:v>No</x:v>
      </x:c>
      <x:c r="O46" s="14" t="str">
        <x:v>Correctly identifies the comprehensive partnership and explains its broader scope.</x:v>
      </x:c>
      <x:c r="P46" s="46" t="n">
        <x:v>12788</x:v>
      </x:c>
      <x:c r="Q46" s="47" t="n">
        <x:v>38</x:v>
      </x:c>
    </x:row>
    <x:row r="47" ht="30" customHeight="1">
      <x:c r="A47" s="34" t="str">
        <x:v>16</x:v>
      </x:c>
      <x:c r="B47" s="35" t="str">
        <x:v>118</x:v>
      </x:c>
      <x:c r="C47" s="35" t="str">
        <x:v>ar</x:v>
      </x:c>
      <x:c r="D47" s="35" t="str">
        <x:v>multi_retrieval</x:v>
      </x:c>
      <x:c r="E47" s="35" t="str">
        <x:v>set</x:v>
      </x:c>
      <x:c r="F47" s="35" t="str">
        <x:v>1</x:v>
      </x:c>
      <x:c r="G47" s="35" t="str">
        <x:v>no_documents</x:v>
      </x:c>
      <x:c r="H47" s="14" t="str">
        <x:v>من القادة المشاركون في محادثات وقف إطلاق النار مع إسرائيل في النزاعات الأخيرة؟</x:v>
      </x:c>
      <x:c r="I47" s="14"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7" s="14" t="str">
        <x:v>شارك في محادثات وقف إطلاق النار مع إسرائيل في النزاعات الأخيرة قادة ووسطاء مثل مسؤولين من حماس وإسرائيل، إضافة إلى مصر وقطر والولايات المتحدة كأطراف رئيسية في التفاوض.</x:v>
      </x:c>
      <x:c r="K47" s="42" t="n">
        <x:v>0</x:v>
      </x:c>
      <x:c r="L47" s="42" t="str">
        <x:v>No</x:v>
      </x:c>
      <x:c r="M47" s="42" t="str">
        <x:v>Yes</x:v>
      </x:c>
      <x:c r="N47" s="42" t="str">
        <x:v>Yes</x:v>
      </x:c>
      <x:c r="O47" s="14" t="str">
        <x:v>Does not identify the two leaders required by the reference answer: Benjamin Netanyahu and Joe Biden.</x:v>
      </x:c>
      <x:c r="P47" s="46" t="n">
        <x:v>157</x:v>
      </x:c>
      <x:c r="Q47" s="47" t="n">
        <x:v>51</x:v>
      </x:c>
    </x:row>
    <x:row r="48" ht="30" customHeight="1">
      <x:c r="A48" s="34" t="str">
        <x:v>16</x:v>
      </x:c>
      <x:c r="B48" s="35" t="str">
        <x:v>118</x:v>
      </x:c>
      <x:c r="C48" s="35" t="str">
        <x:v>ar</x:v>
      </x:c>
      <x:c r="D48" s="35" t="str">
        <x:v>multi_retrieval</x:v>
      </x:c>
      <x:c r="E48" s="35" t="str">
        <x:v>set</x:v>
      </x:c>
      <x:c r="F48" s="35" t="str">
        <x:v>1</x:v>
      </x:c>
      <x:c r="G48" s="35" t="str">
        <x:v>support_only</x:v>
      </x:c>
      <x:c r="H48" s="14" t="str">
        <x:v>من القادة المشاركون في محادثات وقف إطلاق النار مع إسرائيل في النزاعات الأخيرة؟</x:v>
      </x:c>
      <x:c r="I48" s="14"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8" s="14" t="str">
        <x:v>بحسب التغطية الإخبارية، شارك رئيس الوزراء الإسرائيلي بنيامين نتنياهو في بحث الهدنة مع حماس، بينما قاد الرئيس الأميركي جو بايدن جهود الوساطة لوقف إطلاق النار بين إسرائيل وحزب الله.</x:v>
      </x:c>
      <x:c r="K48" s="42" t="n">
        <x:v>2</x:v>
      </x:c>
      <x:c r="L48" s="42" t="str">
        <x:v>No</x:v>
      </x:c>
      <x:c r="M48" s="42" t="str">
        <x:v>Yes</x:v>
      </x:c>
      <x:c r="N48" s="42" t="str">
        <x:v>No</x:v>
      </x:c>
      <x:c r="O48" s="14" t="str">
        <x:v>Correctly identifies Benjamin Netanyahu and Joe Biden and their roles.</x:v>
      </x:c>
      <x:c r="P48" s="46" t="n">
        <x:v>2987</x:v>
      </x:c>
      <x:c r="Q48" s="47" t="n">
        <x:v>53</x:v>
      </x:c>
    </x:row>
    <x:row r="49" ht="30" customHeight="1">
      <x:c r="A49" s="34" t="str">
        <x:v>16</x:v>
      </x:c>
      <x:c r="B49" s="35" t="str">
        <x:v>118</x:v>
      </x:c>
      <x:c r="C49" s="35" t="str">
        <x:v>ar</x:v>
      </x:c>
      <x:c r="D49" s="35" t="str">
        <x:v>multi_retrieval</x:v>
      </x:c>
      <x:c r="E49" s="35" t="str">
        <x:v>set</x:v>
      </x:c>
      <x:c r="F49" s="35" t="str">
        <x:v>1</x:v>
      </x:c>
      <x:c r="G49" s="35" t="str">
        <x:v>all_documents</x:v>
      </x:c>
      <x:c r="H49" s="14" t="str">
        <x:v>من القادة المشاركون في محادثات وقف إطلاق النار مع إسرائيل في النزاعات الأخيرة؟</x:v>
      </x:c>
      <x:c r="I49" s="14"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49" s="14" t="str">
        <x:v>بحسب التغطية الإخبارية، شارك الرئيس الأميركي جو بايدن كوسيط، إلى جانب قادة ومسؤولين من مصر وقطر، ورئيس الوزراء الإسرائيلي بنيامين نتنياهو، وفي لبنان قاد الاتفاق الأميركيون مع الحكومة اللبنانية وحزب الله.</x:v>
      </x:c>
      <x:c r="K49" s="42" t="n">
        <x:v>2</x:v>
      </x:c>
      <x:c r="L49" s="42" t="str">
        <x:v>No</x:v>
      </x:c>
      <x:c r="M49" s="42" t="str">
        <x:v>Yes</x:v>
      </x:c>
      <x:c r="N49" s="42" t="str">
        <x:v>No</x:v>
      </x:c>
      <x:c r="O49" s="14" t="str">
        <x:v>Correctly identifies Benjamin Netanyahu and Joe Biden; additional participants do not change the correct answer.</x:v>
      </x:c>
      <x:c r="P49" s="46" t="n">
        <x:v>11624</x:v>
      </x:c>
      <x:c r="Q49" s="47" t="n">
        <x:v>61</x:v>
      </x:c>
    </x:row>
    <x:row r="50" ht="30" customHeight="1">
      <x:c r="A50" s="34" t="str">
        <x:v>17</x:v>
      </x:c>
      <x:c r="B50" s="35" t="str">
        <x:v>47</x:v>
      </x:c>
      <x:c r="C50" s="35" t="str">
        <x:v>es</x:v>
      </x:c>
      <x:c r="D50" s="35" t="str">
        <x:v>mono_retrieval</x:v>
      </x:c>
      <x:c r="E50" s="35" t="str">
        <x:v>comparison</x:v>
      </x:c>
      <x:c r="F50" s="35" t="str">
        <x:v>1</x:v>
      </x:c>
      <x:c r="G50" s="35" t="str">
        <x:v>no_documents</x:v>
      </x:c>
      <x:c r="H50" s="14" t="str">
        <x:v>¿Qué acusación contra Billy Ray Cyrus es más grave, abuso psicológico o el uso indebido de sustancias?</x:v>
      </x:c>
      <x:c r="I50" s="14" t="str">
        <x:v>El abuso psicológico es más grave que el uso indebido de sustancias en las acusaciones contra Billy Ray Cyrus.</x:v>
      </x:c>
      <x:c r="J50" s="14" t="str">
        <x:v>Según los reportes, la acusación más grave es el abuso psicológico, mientras que el uso indebido de sustancias se mencionó como una preocupación adicional.</x:v>
      </x:c>
      <x:c r="K50" s="42" t="n">
        <x:v>2</x:v>
      </x:c>
      <x:c r="L50" s="42" t="str">
        <x:v>No</x:v>
      </x:c>
      <x:c r="M50" s="42" t="str">
        <x:v>Yes</x:v>
      </x:c>
      <x:c r="N50" s="42" t="str">
        <x:v>No</x:v>
      </x:c>
      <x:c r="O50" s="14" t="str">
        <x:v>Correctly identifies psychological abuse as the more serious accusation.</x:v>
      </x:c>
      <x:c r="P50" s="46" t="n">
        <x:v>159</x:v>
      </x:c>
      <x:c r="Q50" s="47" t="n">
        <x:v>35</x:v>
      </x:c>
    </x:row>
    <x:row r="51" ht="30" customHeight="1">
      <x:c r="A51" s="34" t="str">
        <x:v>17</x:v>
      </x:c>
      <x:c r="B51" s="35" t="str">
        <x:v>47</x:v>
      </x:c>
      <x:c r="C51" s="35" t="str">
        <x:v>es</x:v>
      </x:c>
      <x:c r="D51" s="35" t="str">
        <x:v>mono_retrieval</x:v>
      </x:c>
      <x:c r="E51" s="35" t="str">
        <x:v>comparison</x:v>
      </x:c>
      <x:c r="F51" s="35" t="str">
        <x:v>1</x:v>
      </x:c>
      <x:c r="G51" s="35" t="str">
        <x:v>support_only</x:v>
      </x:c>
      <x:c r="H51" s="14" t="str">
        <x:v>¿Qué acusación contra Billy Ray Cyrus es más grave, abuso psicológico o el uso indebido de sustancias?</x:v>
      </x:c>
      <x:c r="I51" s="14" t="str">
        <x:v>El abuso psicológico es más grave que el uso indebido de sustancias en las acusaciones contra Billy Ray Cyrus.</x:v>
      </x:c>
      <x:c r="J51" s="14" t="str">
        <x:v>Según la denuncia de Firerose, la acusación más grave destacada contra Billy Ray Cyrus fue el abuso verbal, emocional y psicológico extremo, mientras que también alegó consumo persistente de drogas y marihuana.</x:v>
      </x:c>
      <x:c r="K51" s="42" t="n">
        <x:v>2</x:v>
      </x:c>
      <x:c r="L51" s="42" t="str">
        <x:v>No</x:v>
      </x:c>
      <x:c r="M51" s="42" t="str">
        <x:v>Yes</x:v>
      </x:c>
      <x:c r="N51" s="42" t="str">
        <x:v>No</x:v>
      </x:c>
      <x:c r="O51" s="14" t="str">
        <x:v>Correctly identifies psychological abuse as the more serious accusation.</x:v>
      </x:c>
      <x:c r="P51" s="46" t="n">
        <x:v>3648</x:v>
      </x:c>
      <x:c r="Q51" s="47" t="n">
        <x:v>47</x:v>
      </x:c>
    </x:row>
    <x:row r="52" ht="30" customHeight="1">
      <x:c r="A52" s="34" t="str">
        <x:v>17</x:v>
      </x:c>
      <x:c r="B52" s="35" t="str">
        <x:v>47</x:v>
      </x:c>
      <x:c r="C52" s="35" t="str">
        <x:v>es</x:v>
      </x:c>
      <x:c r="D52" s="35" t="str">
        <x:v>mono_retrieval</x:v>
      </x:c>
      <x:c r="E52" s="35" t="str">
        <x:v>comparison</x:v>
      </x:c>
      <x:c r="F52" s="35" t="str">
        <x:v>1</x:v>
      </x:c>
      <x:c r="G52" s="35" t="str">
        <x:v>all_documents</x:v>
      </x:c>
      <x:c r="H52" s="14" t="str">
        <x:v>¿Qué acusación contra Billy Ray Cyrus es más grave, abuso psicológico o el uso indebido de sustancias?</x:v>
      </x:c>
      <x:c r="I52" s="14" t="str">
        <x:v>El abuso psicológico es más grave que el uso indebido de sustancias en las acusaciones contra Billy Ray Cyrus.</x:v>
      </x:c>
      <x:c r="J52" s="14" t="str">
        <x:v>Según las noticias, la acusación más grave y central contra Billy Ray Cyrus fue la de abuso psicológico, verbal y emocional hacia Firerose, mientras que el uso indebido de sustancias apareció como una alegación adicional sobre su conducta.</x:v>
      </x:c>
      <x:c r="K52" s="42" t="n">
        <x:v>2</x:v>
      </x:c>
      <x:c r="L52" s="42" t="str">
        <x:v>No</x:v>
      </x:c>
      <x:c r="M52" s="42" t="str">
        <x:v>Yes</x:v>
      </x:c>
      <x:c r="N52" s="42" t="str">
        <x:v>No</x:v>
      </x:c>
      <x:c r="O52" s="14" t="str">
        <x:v>Correctly identifies psychological abuse as the more serious accusation.</x:v>
      </x:c>
      <x:c r="P52" s="46" t="n">
        <x:v>13548</x:v>
      </x:c>
      <x:c r="Q52" s="47" t="n">
        <x:v>51</x:v>
      </x:c>
    </x:row>
    <x:row r="53" ht="30" customHeight="1">
      <x:c r="A53" s="34" t="str">
        <x:v>18</x:v>
      </x:c>
      <x:c r="B53" s="35" t="str">
        <x:v>31</x:v>
      </x:c>
      <x:c r="C53" s="35" t="str">
        <x:v>es</x:v>
      </x:c>
      <x:c r="D53" s="35" t="str">
        <x:v>multi_retrieval</x:v>
      </x:c>
      <x:c r="E53" s="35" t="str">
        <x:v>comparison</x:v>
      </x:c>
      <x:c r="F53" s="35" t="str">
        <x:v>2</x:v>
      </x:c>
      <x:c r="G53" s="35" t="str">
        <x:v>no_documents</x:v>
      </x:c>
      <x:c r="H53" s="14" t="str">
        <x:v>¿Qué acontecimiento ocurrió primero: la intervención de Hezbolá contra Israel o la advertencia de la ONU sobre la escalada del conflicto?</x:v>
      </x:c>
      <x:c r="I53" s="14" t="str">
        <x:v>La intervención de Hezbolá contra Israel ocurrió primero.</x:v>
      </x:c>
      <x:c r="J53" s="14" t="str">
        <x:v>La intervención de Hezbolá contra Israel ocurrió primero; después la ONU advirtió sobre la escalada del conflicto.</x:v>
      </x:c>
      <x:c r="K53" s="42" t="n">
        <x:v>2</x:v>
      </x:c>
      <x:c r="L53" s="42" t="str">
        <x:v>No</x:v>
      </x:c>
      <x:c r="M53" s="42" t="str">
        <x:v>Yes</x:v>
      </x:c>
      <x:c r="N53" s="42" t="str">
        <x:v>No</x:v>
      </x:c>
      <x:c r="O53" s="14" t="str">
        <x:v>Correctly identifies Hezbollah’s intervention as occurring first.</x:v>
      </x:c>
      <x:c r="P53" s="46" t="n">
        <x:v>167</x:v>
      </x:c>
      <x:c r="Q53" s="47" t="n">
        <x:v>28</x:v>
      </x:c>
    </x:row>
    <x:row r="54" ht="30" customHeight="1">
      <x:c r="A54" s="34" t="str">
        <x:v>18</x:v>
      </x:c>
      <x:c r="B54" s="35" t="str">
        <x:v>31</x:v>
      </x:c>
      <x:c r="C54" s="35" t="str">
        <x:v>es</x:v>
      </x:c>
      <x:c r="D54" s="35" t="str">
        <x:v>multi_retrieval</x:v>
      </x:c>
      <x:c r="E54" s="35" t="str">
        <x:v>comparison</x:v>
      </x:c>
      <x:c r="F54" s="35" t="str">
        <x:v>2</x:v>
      </x:c>
      <x:c r="G54" s="35" t="str">
        <x:v>support_only</x:v>
      </x:c>
      <x:c r="H54" s="14" t="str">
        <x:v>¿Qué acontecimiento ocurrió primero: la intervención de Hezbolá contra Israel o la advertencia de la ONU sobre la escalada del conflicto?</x:v>
      </x:c>
      <x:c r="I54" s="14" t="str">
        <x:v>La intervención de Hezbolá contra Israel ocurrió primero.</x:v>
      </x:c>
      <x:c r="J54" s="14" t="str">
        <x:v>Ocurrió primero la intervención limitada de Hezbolá contra Israel, que comenzó el 8 de octubre de 2023, mucho antes de la advertencia de la ONU de septiembre de 2024.</x:v>
      </x:c>
      <x:c r="K54" s="42" t="n">
        <x:v>2</x:v>
      </x:c>
      <x:c r="L54" s="42" t="str">
        <x:v>No</x:v>
      </x:c>
      <x:c r="M54" s="42" t="str">
        <x:v>Yes</x:v>
      </x:c>
      <x:c r="N54" s="42" t="str">
        <x:v>No</x:v>
      </x:c>
      <x:c r="O54" s="14" t="str">
        <x:v>Correctly identifies Hezbollah’s intervention as occurring first and supplies the dates.</x:v>
      </x:c>
      <x:c r="P54" s="46" t="n">
        <x:v>4290</x:v>
      </x:c>
      <x:c r="Q54" s="47" t="n">
        <x:v>47</x:v>
      </x:c>
    </x:row>
    <x:row r="55" ht="30" customHeight="1">
      <x:c r="A55" s="34" t="str">
        <x:v>18</x:v>
      </x:c>
      <x:c r="B55" s="35" t="str">
        <x:v>31</x:v>
      </x:c>
      <x:c r="C55" s="35" t="str">
        <x:v>es</x:v>
      </x:c>
      <x:c r="D55" s="35" t="str">
        <x:v>multi_retrieval</x:v>
      </x:c>
      <x:c r="E55" s="35" t="str">
        <x:v>comparison</x:v>
      </x:c>
      <x:c r="F55" s="35" t="str">
        <x:v>2</x:v>
      </x:c>
      <x:c r="G55" s="35" t="str">
        <x:v>all_documents</x:v>
      </x:c>
      <x:c r="H55" s="14" t="str">
        <x:v>¿Qué acontecimiento ocurrió primero: la intervención de Hezbolá contra Israel o la advertencia de la ONU sobre la escalada del conflicto?</x:v>
      </x:c>
      <x:c r="I55" s="14" t="str">
        <x:v>La intervención de Hezbolá contra Israel ocurrió primero.</x:v>
      </x:c>
      <x:c r="J55" s="14" t="str">
        <x:v>Ocurrió primero la intervención limitada de Hezbolá contra Israel, que comenzó el 8 de octubre de 2023, mucho antes de la advertencia de la ONU sobre la escalada en septiembre de 2024.</x:v>
      </x:c>
      <x:c r="K55" s="42" t="n">
        <x:v>2</x:v>
      </x:c>
      <x:c r="L55" s="42" t="str">
        <x:v>No</x:v>
      </x:c>
      <x:c r="M55" s="42" t="str">
        <x:v>Yes</x:v>
      </x:c>
      <x:c r="N55" s="42" t="str">
        <x:v>No</x:v>
      </x:c>
      <x:c r="O55" s="14" t="str">
        <x:v>Correctly identifies Hezbollah’s intervention as occurring first and supplies the dates.</x:v>
      </x:c>
      <x:c r="P55" s="46" t="n">
        <x:v>17019</x:v>
      </x:c>
      <x:c r="Q55" s="47" t="n">
        <x:v>51</x:v>
      </x:c>
    </x:row>
    <x:row r="56" ht="30" customHeight="1">
      <x:c r="A56" s="34" t="str">
        <x:v>19</x:v>
      </x:c>
      <x:c r="B56" s="35" t="str">
        <x:v>180</x:v>
      </x:c>
      <x:c r="C56" s="35" t="str">
        <x:v>ar</x:v>
      </x:c>
      <x:c r="D56" s="35" t="str">
        <x:v>multi_retrieval</x:v>
      </x:c>
      <x:c r="E56" s="35" t="str">
        <x:v>aggregation</x:v>
      </x:c>
      <x:c r="F56" s="35" t="str">
        <x:v>0</x:v>
      </x:c>
      <x:c r="G56" s="35" t="str">
        <x:v>no_documents</x:v>
      </x:c>
      <x:c r="H56" s="14" t="str">
        <x:v>كم عدد الميداليات الإجمالية التي حصلت عليها فرنسا في أولمبياد باريس 2024 بما في ذلك ذهبية نيكولاس جيستين في سباق الكانو الفردي للرجال؟</x:v>
      </x:c>
      <x:c r="I56" s="14" t="str">
        <x:v>64 ميدالية</x:v>
      </x:c>
      <x:c r="J56" s="14" t="str">
        <x:v>بحسب ما أفادت به التغطيات الإخبارية، رفعت ذهبية نيكولاس جيستين رصيد فرنسا إلى 60 ميدالية إجمالية في أولمبياد باريس 2024.</x:v>
      </x:c>
      <x:c r="K56" s="42" t="n">
        <x:v>0</x:v>
      </x:c>
      <x:c r="L56" s="42" t="str">
        <x:v>No</x:v>
      </x:c>
      <x:c r="M56" s="42" t="str">
        <x:v>Yes</x:v>
      </x:c>
      <x:c r="N56" s="42" t="str">
        <x:v>Yes</x:v>
      </x:c>
      <x:c r="O56" s="14" t="str">
        <x:v>Incorrectly gives 60 medals instead of 64.</x:v>
      </x:c>
      <x:c r="P56" s="46" t="n">
        <x:v>183</x:v>
      </x:c>
      <x:c r="Q56" s="47" t="n">
        <x:v>49</x:v>
      </x:c>
    </x:row>
    <x:row r="57" ht="30" customHeight="1">
      <x:c r="A57" s="34" t="str">
        <x:v>19</x:v>
      </x:c>
      <x:c r="B57" s="35" t="str">
        <x:v>180</x:v>
      </x:c>
      <x:c r="C57" s="35" t="str">
        <x:v>ar</x:v>
      </x:c>
      <x:c r="D57" s="35" t="str">
        <x:v>multi_retrieval</x:v>
      </x:c>
      <x:c r="E57" s="35" t="str">
        <x:v>aggregation</x:v>
      </x:c>
      <x:c r="F57" s="35" t="str">
        <x:v>0</x:v>
      </x:c>
      <x:c r="G57" s="35" t="str">
        <x:v>support_only</x:v>
      </x:c>
      <x:c r="H57" s="14" t="str">
        <x:v>كم عدد الميداليات الإجمالية التي حصلت عليها فرنسا في أولمبياد باريس 2024 بما في ذلك ذهبية نيكولاس جيستين في سباق الكانو الفردي للرجال؟</x:v>
      </x:c>
      <x:c r="I57" s="14" t="str">
        <x:v>64 ميدالية</x:v>
      </x:c>
      <x:c r="J57" s="14" t="str">
        <x:v>حصلت فرنسا على 64 ميدالية إجمالًا في أولمبياد باريس 2024، بينها ذهبية نيكولاس جيستين في سباق الكانو الفردي للرجال.</x:v>
      </x:c>
      <x:c r="K57" s="42" t="n">
        <x:v>2</x:v>
      </x:c>
      <x:c r="L57" s="42" t="str">
        <x:v>No</x:v>
      </x:c>
      <x:c r="M57" s="42" t="str">
        <x:v>Yes</x:v>
      </x:c>
      <x:c r="N57" s="42" t="str">
        <x:v>No</x:v>
      </x:c>
      <x:c r="O57" s="14" t="str">
        <x:v>Correctly gives France’s total of 64 medals.</x:v>
      </x:c>
      <x:c r="P57" s="46" t="n">
        <x:v>2246</x:v>
      </x:c>
      <x:c r="Q57" s="47" t="n">
        <x:v>48</x:v>
      </x:c>
    </x:row>
    <x:row r="58" ht="30" customHeight="1">
      <x:c r="A58" s="34" t="str">
        <x:v>19</x:v>
      </x:c>
      <x:c r="B58" s="35" t="str">
        <x:v>180</x:v>
      </x:c>
      <x:c r="C58" s="35" t="str">
        <x:v>ar</x:v>
      </x:c>
      <x:c r="D58" s="35" t="str">
        <x:v>multi_retrieval</x:v>
      </x:c>
      <x:c r="E58" s="35" t="str">
        <x:v>aggregation</x:v>
      </x:c>
      <x:c r="F58" s="35" t="str">
        <x:v>0</x:v>
      </x:c>
      <x:c r="G58" s="35" t="str">
        <x:v>all_documents</x:v>
      </x:c>
      <x:c r="H58" s="14" t="str">
        <x:v>كم عدد الميداليات الإجمالية التي حصلت عليها فرنسا في أولمبياد باريس 2024 بما في ذلك ذهبية نيكولاس جيستين في سباق الكانو الفردي للرجال؟</x:v>
      </x:c>
      <x:c r="I58" s="14" t="str">
        <x:v>64 ميدالية</x:v>
      </x:c>
      <x:c r="J58" s="14" t="str">
        <x:v>حصلت فرنسا على 64 ميدالية إجمالًا في أولمبياد باريس 2024، بما في ذلك ذهبية نيكولاس جيستين في سباق الكانو الفردي للرجال.</x:v>
      </x:c>
      <x:c r="K58" s="42" t="n">
        <x:v>2</x:v>
      </x:c>
      <x:c r="L58" s="42" t="str">
        <x:v>No</x:v>
      </x:c>
      <x:c r="M58" s="42" t="str">
        <x:v>Yes</x:v>
      </x:c>
      <x:c r="N58" s="42" t="str">
        <x:v>No</x:v>
      </x:c>
      <x:c r="O58" s="14" t="str">
        <x:v>Correctly gives France’s total of 64 medals.</x:v>
      </x:c>
      <x:c r="P58" s="46" t="n">
        <x:v>12593</x:v>
      </x:c>
      <x:c r="Q58" s="47" t="n">
        <x:v>50</x:v>
      </x:c>
    </x:row>
    <x:row r="59" ht="30" customHeight="1">
      <x:c r="A59" s="34" t="str">
        <x:v>20</x:v>
      </x:c>
      <x:c r="B59" s="35" t="str">
        <x:v>368</x:v>
      </x:c>
      <x:c r="C59" s="35" t="str">
        <x:v>es</x:v>
      </x:c>
      <x:c r="D59" s="35" t="str">
        <x:v>multi_retrieval</x:v>
      </x:c>
      <x:c r="E59" s="35" t="str">
        <x:v>aggregation</x:v>
      </x:c>
      <x:c r="F59" s="35" t="str">
        <x:v>1</x:v>
      </x:c>
      <x:c r="G59" s="35" t="str">
        <x:v>no_documents</x:v>
      </x:c>
      <x:c r="H59" s="14" t="str">
        <x:v>¿Cuántos países están involucrados en las operaciones militares ampliadas de Israel y en el conflicto entre Israel y Palestina?</x:v>
      </x:c>
      <x:c r="I59" s="14" t="str">
        <x:v>Tres países están directamente involucrados en las operaciones militares ampliadas de Israel y en el conflicto entre Israel y Palestina: Israel, el Líbano (incluyendo a Hezbolá) e Irán.</x:v>
      </x:c>
      <x:c r="J59" s="14" t="str">
        <x:v>Según las noticias, están involucrados al menos cuatro países en las operaciones militares ampliadas de Israel y dos partes principales en el conflicto entre Israel y Palestina.</x:v>
      </x:c>
      <x:c r="K59" s="42" t="n">
        <x:v>0</x:v>
      </x:c>
      <x:c r="L59" s="42" t="str">
        <x:v>No</x:v>
      </x:c>
      <x:c r="M59" s="42" t="str">
        <x:v>Yes</x:v>
      </x:c>
      <x:c r="N59" s="42" t="str">
        <x:v>Yes</x:v>
      </x:c>
      <x:c r="O59" s="14" t="str">
        <x:v>Does not provide the reference count of three and gives a vague, larger estimate.</x:v>
      </x:c>
      <x:c r="P59" s="46" t="n">
        <x:v>162</x:v>
      </x:c>
      <x:c r="Q59" s="47" t="n">
        <x:v>35</x:v>
      </x:c>
    </x:row>
    <x:row r="60" ht="30" customHeight="1">
      <x:c r="A60" s="34" t="str">
        <x:v>20</x:v>
      </x:c>
      <x:c r="B60" s="35" t="str">
        <x:v>368</x:v>
      </x:c>
      <x:c r="C60" s="35" t="str">
        <x:v>es</x:v>
      </x:c>
      <x:c r="D60" s="35" t="str">
        <x:v>multi_retrieval</x:v>
      </x:c>
      <x:c r="E60" s="35" t="str">
        <x:v>aggregation</x:v>
      </x:c>
      <x:c r="F60" s="35" t="str">
        <x:v>1</x:v>
      </x:c>
      <x:c r="G60" s="35" t="str">
        <x:v>support_only</x:v>
      </x:c>
      <x:c r="H60" s="14" t="str">
        <x:v>¿Cuántos países están involucrados en las operaciones militares ampliadas de Israel y en el conflicto entre Israel y Palestina?</x:v>
      </x:c>
      <x:c r="I60" s="14" t="str">
        <x:v>Tres países están directamente involucrados en las operaciones militares ampliadas de Israel y en el conflicto entre Israel y Palestina: Israel, el Líbano (incluyendo a Hezbolá) e Irán.</x:v>
      </x:c>
      <x:c r="J60" s="14" t="str">
        <x:v>Según la noticia, las operaciones militares ampliadas de Israel alcanzan al menos a dos países además de Palestina: Líbano e Irán.</x:v>
      </x:c>
      <x:c r="K60" s="42" t="n">
        <x:v>1</x:v>
      </x:c>
      <x:c r="L60" s="42" t="str">
        <x:v>No</x:v>
      </x:c>
      <x:c r="M60" s="42" t="str">
        <x:v>Yes</x:v>
      </x:c>
      <x:c r="N60" s="42" t="str">
        <x:v>No</x:v>
      </x:c>
      <x:c r="O60" s="14" t="str">
        <x:v>Identifies Lebanon and Iran but does not state the requested total of three or clearly include Israel.</x:v>
      </x:c>
      <x:c r="P60" s="46" t="n">
        <x:v>2949</x:v>
      </x:c>
      <x:c r="Q60" s="47" t="n">
        <x:v>33</x:v>
      </x:c>
    </x:row>
    <x:row r="61" ht="30" customHeight="1">
      <x:c r="A61" s="36" t="str">
        <x:v>20</x:v>
      </x:c>
      <x:c r="B61" s="37" t="str">
        <x:v>368</x:v>
      </x:c>
      <x:c r="C61" s="37" t="str">
        <x:v>es</x:v>
      </x:c>
      <x:c r="D61" s="37" t="str">
        <x:v>multi_retrieval</x:v>
      </x:c>
      <x:c r="E61" s="37" t="str">
        <x:v>aggregation</x:v>
      </x:c>
      <x:c r="F61" s="37" t="str">
        <x:v>1</x:v>
      </x:c>
      <x:c r="G61" s="37" t="str">
        <x:v>all_documents</x:v>
      </x:c>
      <x:c r="H61" s="23" t="str">
        <x:v>¿Cuántos países están involucrados en las operaciones militares ampliadas de Israel y en el conflicto entre Israel y Palestina?</x:v>
      </x:c>
      <x:c r="I61" s="23" t="str">
        <x:v>Tres países están directamente involucrados en las operaciones militares ampliadas de Israel y en el conflicto entre Israel y Palestina: Israel, el Líbano (incluyendo a Hezbolá) e Irán.</x:v>
      </x:c>
      <x:c r="J61" s="23" t="str">
        <x:v>Según la cobertura citada, las operaciones militares ampliadas de Israel se extienden a Líbano y también implican a Irán, además de Israel y Palestina, es decir, al menos cuatro países o territorios principales involucrados.</x:v>
      </x:c>
      <x:c r="K61" s="43" t="n">
        <x:v>1</x:v>
      </x:c>
      <x:c r="L61" s="43" t="str">
        <x:v>No</x:v>
      </x:c>
      <x:c r="M61" s="43" t="str">
        <x:v>Yes</x:v>
      </x:c>
      <x:c r="N61" s="43" t="str">
        <x:v>Yes</x:v>
      </x:c>
      <x:c r="O61" s="23" t="str">
        <x:v>Identifies the relevant actors but counts Palestine as an additional country or territory and gives four rather than the reference count of three.</x:v>
      </x:c>
      <x:c r="P61" s="48" t="n">
        <x:v>13464</x:v>
      </x:c>
      <x:c r="Q61" s="49" t="n">
        <x:v>53</x:v>
      </x:c>
    </x:row>
  </x:sheetData>
  <x:conditionalFormatting sqref="K2:K61">
    <x:cfRule type="colorScale" priority="1">
      <x:colorScale>
        <x:cfvo type="min"/>
        <x:cfvo type="percentile" val="50"/>
        <x:cfvo type="max"/>
        <x:color rgb="FFF4CCCC"/>
        <x:color rgb="FFFFF2CC"/>
        <x:color rgb="FFD9EAD3"/>
      </x:colorScale>
    </x:cfRule>
  </x:conditionalFormatting>
  <x:conditionalFormatting sqref="N2:N61">
    <x:cfRule type="expression" dxfId="0" priority="2">
      <x:formula>N2="Yes"</x:formula>
    </x:cfRule>
  </x:conditionalFormatting>
  <x:conditionalFormatting sqref="M2:M61">
    <x:cfRule type="expression" dxfId="1" priority="3">
      <x:formula>M2="Yes"</x:formula>
    </x:cfRule>
  </x:conditionalFormatting>
  <x:dataValidations count="4">
    <x:dataValidation type="list" sqref="K2:K61">
      <x:formula1>"0,1,2"</x:formula1>
    </x:dataValidation>
    <x:dataValidation type="list" sqref="L2:L61">
      <x:formula1>"Yes,No"</x:formula1>
    </x:dataValidation>
    <x:dataValidation type="list" sqref="M2:M61">
      <x:formula1>"Yes,No"</x:formula1>
    </x:dataValidation>
    <x:dataValidation type="list" sqref="N2:N61">
      <x:formula1>"Yes,No"</x:formula1>
    </x:dataValidation>
  </x:dataValidations>
  <x:pageMargins left="0.7" right="0.7" top="0.75" bottom="0.75" header="0.3" footer="0.3"/>
  <x:tableParts count="1">
    <x:tablePart xmlns:r="http://schemas.openxmlformats.org/officeDocument/2006/relationships" r:id="R4bb5479229754721"/>
  </x:tableParts>
</x:worksheet>
</file>

<file path=xl/worksheets/sheet2.xml><?xml version="1.0" encoding="utf-8"?>
<x:worksheet xmlns:x="http://schemas.openxmlformats.org/spreadsheetml/2006/main">
  <x:sheetFormatPr defaultRowHeight="15"/>
  <x:cols>
    <x:col min="1" max="1" width="20" hidden="0" customWidth="1"/>
    <x:col min="2" max="2" width="16" hidden="0" customWidth="1"/>
    <x:col min="3" max="3" width="15" hidden="0" customWidth="1"/>
    <x:col min="4" max="4" width="18"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30" customHeight="1">
      <x:c r="A1" s="56" t="str">
        <x:v>GPT-5.4 XRAG Pilot Scoring Summary</x:v>
      </x:c>
    </x:row>
    <x:row r="3">
      <x:c r="A3" s="60" t="str">
        <x:v>Metric</x:v>
      </x:c>
      <x:c r="B3" s="61" t="str">
        <x:v>Value</x:v>
      </x:c>
    </x:row>
    <x:row r="4">
      <x:c r="A4" s="72" t="str">
        <x:v>Model</x:v>
      </x:c>
      <x:c r="B4" s="63" t="str">
        <x:v>gpt-5.4-2026-03-05</x:v>
      </x:c>
    </x:row>
    <x:row r="5">
      <x:c r="A5" s="72" t="str">
        <x:v>Total responses</x:v>
      </x:c>
      <x:c r="B5" s="63" t="n">
        <x:f>COUNTA('Scored Results'!A2:A61)</x:f>
        <x:v>60</x:v>
      </x:c>
    </x:row>
    <x:row r="6">
      <x:c r="A6" s="72" t="str">
        <x:v>Total input tokens</x:v>
      </x:c>
      <x:c r="B6" s="63" t="n">
        <x:f>SUM('Scored Results'!P2:P61)</x:f>
        <x:v>340759</x:v>
      </x:c>
    </x:row>
    <x:row r="7">
      <x:c r="A7" s="72" t="str">
        <x:v>Total output tokens</x:v>
      </x:c>
      <x:c r="B7" s="63" t="n">
        <x:f>SUM('Scored Results'!Q2:Q61)</x:f>
        <x:v>2807</x:v>
      </x:c>
    </x:row>
    <x:row r="8">
      <x:c r="A8" s="73" t="str">
        <x:v>Total combined tokens</x:v>
      </x:c>
      <x:c r="B8" s="65" t="n">
        <x:f>B6+B7</x:f>
        <x:v>343566</x:v>
      </x:c>
    </x:row>
    <x:row r="11">
      <x:c r="A11" s="60" t="str">
        <x:v>Condition</x:v>
      </x:c>
      <x:c r="B11" s="76" t="str">
        <x:v>Responses</x:v>
      </x:c>
      <x:c r="C11" s="76" t="str">
        <x:v>Average Score</x:v>
      </x:c>
      <x:c r="D11" s="76" t="str">
        <x:v>% Possible Points</x:v>
      </x:c>
      <x:c r="E11" s="76" t="str">
        <x:v>Fully Correct</x:v>
      </x:c>
      <x:c r="F11" s="76" t="str">
        <x:v>Partial</x:v>
      </x:c>
      <x:c r="G11" s="76" t="str">
        <x:v>Incorrect</x:v>
      </x:c>
      <x:c r="H11" s="76" t="str">
        <x:v>Refusals</x:v>
      </x:c>
      <x:c r="I11" s="76" t="str">
        <x:v>Correct Language</x:v>
      </x:c>
      <x:c r="J11" s="76" t="str">
        <x:v>Unsupported Info</x:v>
      </x:c>
      <x:c r="K11" s="76" t="str">
        <x:v>Input Tokens</x:v>
      </x:c>
      <x:c r="L11" s="61" t="str">
        <x:v>Output Tokens</x:v>
      </x:c>
    </x:row>
    <x:row r="12">
      <x:c r="A12" s="72" t="str">
        <x:v>no_documents</x:v>
      </x:c>
      <x:c r="B12" s="77" t="n">
        <x:f>COUNTIF('Scored Results'!$G$2:$G$61,A12)</x:f>
        <x:v>20</x:v>
      </x:c>
      <x:c r="C12" s="81" t="n">
        <x:f>SUMIF('Scored Results'!$G$2:$G$61,A12,'Scored Results'!$K$2:$K$61)/B12</x:f>
        <x:v>1.35</x:v>
      </x:c>
      <x:c r="D12" s="85" t="n">
        <x:f>C12/2</x:f>
        <x:v>0.675</x:v>
      </x:c>
      <x:c r="E12" s="77" t="n">
        <x:f>COUNTIFS('Scored Results'!$G$2:$G$61,A12,'Scored Results'!$K$2:$K$61,2)</x:f>
        <x:v>12</x:v>
      </x:c>
      <x:c r="F12" s="77" t="n">
        <x:f>COUNTIFS('Scored Results'!$G$2:$G$61,A12,'Scored Results'!$K$2:$K$61,1)</x:f>
        <x:v>3</x:v>
      </x:c>
      <x:c r="G12" s="77" t="n">
        <x:f>COUNTIFS('Scored Results'!$G$2:$G$61,A12,'Scored Results'!$K$2:$K$61,0)</x:f>
        <x:v>5</x:v>
      </x:c>
      <x:c r="H12" s="77" t="n">
        <x:f>COUNTIFS('Scored Results'!$G$2:$G$61,A12,'Scored Results'!$L$2:$L$61,"Yes")</x:f>
        <x:v>0</x:v>
      </x:c>
      <x:c r="I12" s="77" t="n">
        <x:f>COUNTIFS('Scored Results'!$G$2:$G$61,A12,'Scored Results'!$M$2:$M$61,"Yes")</x:f>
        <x:v>20</x:v>
      </x:c>
      <x:c r="J12" s="77" t="n">
        <x:f>COUNTIFS('Scored Results'!$G$2:$G$61,A12,'Scored Results'!$N$2:$N$61,"Yes")</x:f>
        <x:v>8</x:v>
      </x:c>
      <x:c r="K12" s="77" t="n">
        <x:f>SUMIF('Scored Results'!$G$2:$G$61,A12,'Scored Results'!$P$2:$P$61)</x:f>
        <x:v>3260</x:v>
      </x:c>
      <x:c r="L12" s="63" t="n">
        <x:f>SUMIF('Scored Results'!$G$2:$G$61,A12,'Scored Results'!$Q$2:$Q$61)</x:f>
        <x:v>808</x:v>
      </x:c>
    </x:row>
    <x:row r="13">
      <x:c r="A13" s="72" t="str">
        <x:v>support_only</x:v>
      </x:c>
      <x:c r="B13" s="77" t="n">
        <x:f>COUNTIF('Scored Results'!$G$2:$G$61,A13)</x:f>
        <x:v>20</x:v>
      </x:c>
      <x:c r="C13" s="81" t="n">
        <x:f>SUMIF('Scored Results'!$G$2:$G$61,A13,'Scored Results'!$K$2:$K$61)/B13</x:f>
        <x:v>1.5</x:v>
      </x:c>
      <x:c r="D13" s="85" t="n">
        <x:f>C13/2</x:f>
        <x:v>0.75</x:v>
      </x:c>
      <x:c r="E13" s="77" t="n">
        <x:f>COUNTIFS('Scored Results'!$G$2:$G$61,A13,'Scored Results'!$K$2:$K$61,2)</x:f>
        <x:v>12</x:v>
      </x:c>
      <x:c r="F13" s="77" t="n">
        <x:f>COUNTIFS('Scored Results'!$G$2:$G$61,A13,'Scored Results'!$K$2:$K$61,1)</x:f>
        <x:v>6</x:v>
      </x:c>
      <x:c r="G13" s="77" t="n">
        <x:f>COUNTIFS('Scored Results'!$G$2:$G$61,A13,'Scored Results'!$K$2:$K$61,0)</x:f>
        <x:v>2</x:v>
      </x:c>
      <x:c r="H13" s="77" t="n">
        <x:f>COUNTIFS('Scored Results'!$G$2:$G$61,A13,'Scored Results'!$L$2:$L$61,"Yes")</x:f>
        <x:v>0</x:v>
      </x:c>
      <x:c r="I13" s="77" t="n">
        <x:f>COUNTIFS('Scored Results'!$G$2:$G$61,A13,'Scored Results'!$M$2:$M$61,"Yes")</x:f>
        <x:v>20</x:v>
      </x:c>
      <x:c r="J13" s="77" t="n">
        <x:f>COUNTIFS('Scored Results'!$G$2:$G$61,A13,'Scored Results'!$N$2:$N$61,"Yes")</x:f>
        <x:v>2</x:v>
      </x:c>
      <x:c r="K13" s="77" t="n">
        <x:f>SUMIF('Scored Results'!$G$2:$G$61,A13,'Scored Results'!$P$2:$P$61)</x:f>
        <x:v>56067</x:v>
      </x:c>
      <x:c r="L13" s="63" t="n">
        <x:f>SUMIF('Scored Results'!$G$2:$G$61,A13,'Scored Results'!$Q$2:$Q$61)</x:f>
        <x:v>953</x:v>
      </x:c>
    </x:row>
    <x:row r="14">
      <x:c r="A14" s="73" t="str">
        <x:v>all_documents</x:v>
      </x:c>
      <x:c r="B14" s="78" t="n">
        <x:f>COUNTIF('Scored Results'!$G$2:$G$61,A14)</x:f>
        <x:v>20</x:v>
      </x:c>
      <x:c r="C14" s="82" t="n">
        <x:f>SUMIF('Scored Results'!$G$2:$G$61,A14,'Scored Results'!$K$2:$K$61)/B14</x:f>
        <x:v>1.3</x:v>
      </x:c>
      <x:c r="D14" s="86" t="n">
        <x:f>C14/2</x:f>
        <x:v>0.65</x:v>
      </x:c>
      <x:c r="E14" s="78" t="n">
        <x:f>COUNTIFS('Scored Results'!$G$2:$G$61,A14,'Scored Results'!$K$2:$K$61,2)</x:f>
        <x:v>10</x:v>
      </x:c>
      <x:c r="F14" s="78" t="n">
        <x:f>COUNTIFS('Scored Results'!$G$2:$G$61,A14,'Scored Results'!$K$2:$K$61,1)</x:f>
        <x:v>6</x:v>
      </x:c>
      <x:c r="G14" s="78" t="n">
        <x:f>COUNTIFS('Scored Results'!$G$2:$G$61,A14,'Scored Results'!$K$2:$K$61,0)</x:f>
        <x:v>4</x:v>
      </x:c>
      <x:c r="H14" s="78" t="n">
        <x:f>COUNTIFS('Scored Results'!$G$2:$G$61,A14,'Scored Results'!$L$2:$L$61,"Yes")</x:f>
        <x:v>0</x:v>
      </x:c>
      <x:c r="I14" s="78" t="n">
        <x:f>COUNTIFS('Scored Results'!$G$2:$G$61,A14,'Scored Results'!$M$2:$M$61,"Yes")</x:f>
        <x:v>20</x:v>
      </x:c>
      <x:c r="J14" s="78" t="n">
        <x:f>COUNTIFS('Scored Results'!$G$2:$G$61,A14,'Scored Results'!$N$2:$N$61,"Yes")</x:f>
        <x:v>9</x:v>
      </x:c>
      <x:c r="K14" s="78" t="n">
        <x:f>SUMIF('Scored Results'!$G$2:$G$61,A14,'Scored Results'!$P$2:$P$61)</x:f>
        <x:v>281432</x:v>
      </x:c>
      <x:c r="L14" s="65" t="n">
        <x:f>SUMIF('Scored Results'!$G$2:$G$61,A14,'Scored Results'!$Q$2:$Q$61)</x:f>
        <x:v>1046</x:v>
      </x:c>
    </x:row>
    <x:row r="17">
      <x:c r="A17" s="60" t="str">
        <x:v>Condition</x:v>
      </x:c>
      <x:c r="B17" s="76" t="str">
        <x:v>Language</x:v>
      </x:c>
      <x:c r="C17" s="76" t="str">
        <x:v>Responses</x:v>
      </x:c>
      <x:c r="D17" s="76" t="str">
        <x:v>Average Score</x:v>
      </x:c>
      <x:c r="E17" s="61" t="str">
        <x:v>% Possible Points</x:v>
      </x:c>
    </x:row>
    <x:row r="18">
      <x:c r="A18" s="62" t="str">
        <x:v>no_documents</x:v>
      </x:c>
      <x:c r="B18" s="77" t="str">
        <x:v>ar</x:v>
      </x:c>
      <x:c r="C18" s="77" t="n">
        <x:f>COUNTIFS('Scored Results'!$G$2:$G$61,A18,'Scored Results'!$C$2:$C$61,B18)</x:f>
        <x:v>10</x:v>
      </x:c>
      <x:c r="D18" s="81" t="n">
        <x:f>SUMIFS('Scored Results'!$K$2:$K$61,'Scored Results'!$G$2:$G$61,A18,'Scored Results'!$C$2:$C$61,B18)/C18</x:f>
        <x:v>1.2</x:v>
      </x:c>
      <x:c r="E18" s="89" t="n">
        <x:f>D18/2</x:f>
        <x:v>0.6</x:v>
      </x:c>
    </x:row>
    <x:row r="19">
      <x:c r="A19" s="62" t="str">
        <x:v>no_documents</x:v>
      </x:c>
      <x:c r="B19" s="77" t="str">
        <x:v>es</x:v>
      </x:c>
      <x:c r="C19" s="77" t="n">
        <x:f>COUNTIFS('Scored Results'!$G$2:$G$61,A19,'Scored Results'!$C$2:$C$61,B19)</x:f>
        <x:v>10</x:v>
      </x:c>
      <x:c r="D19" s="81" t="n">
        <x:f>SUMIFS('Scored Results'!$K$2:$K$61,'Scored Results'!$G$2:$G$61,A19,'Scored Results'!$C$2:$C$61,B19)/C19</x:f>
        <x:v>1.5</x:v>
      </x:c>
      <x:c r="E19" s="89" t="n">
        <x:f>D19/2</x:f>
        <x:v>0.75</x:v>
      </x:c>
    </x:row>
    <x:row r="20">
      <x:c r="A20" s="62" t="str">
        <x:v>support_only</x:v>
      </x:c>
      <x:c r="B20" s="77" t="str">
        <x:v>ar</x:v>
      </x:c>
      <x:c r="C20" s="77" t="n">
        <x:f>COUNTIFS('Scored Results'!$G$2:$G$61,A20,'Scored Results'!$C$2:$C$61,B20)</x:f>
        <x:v>10</x:v>
      </x:c>
      <x:c r="D20" s="81" t="n">
        <x:f>SUMIFS('Scored Results'!$K$2:$K$61,'Scored Results'!$G$2:$G$61,A20,'Scored Results'!$C$2:$C$61,B20)/C20</x:f>
        <x:v>1.5</x:v>
      </x:c>
      <x:c r="E20" s="89" t="n">
        <x:f>D20/2</x:f>
        <x:v>0.75</x:v>
      </x:c>
    </x:row>
    <x:row r="21">
      <x:c r="A21" s="62" t="str">
        <x:v>support_only</x:v>
      </x:c>
      <x:c r="B21" s="77" t="str">
        <x:v>es</x:v>
      </x:c>
      <x:c r="C21" s="77" t="n">
        <x:f>COUNTIFS('Scored Results'!$G$2:$G$61,A21,'Scored Results'!$C$2:$C$61,B21)</x:f>
        <x:v>10</x:v>
      </x:c>
      <x:c r="D21" s="81" t="n">
        <x:f>SUMIFS('Scored Results'!$K$2:$K$61,'Scored Results'!$G$2:$G$61,A21,'Scored Results'!$C$2:$C$61,B21)/C21</x:f>
        <x:v>1.5</x:v>
      </x:c>
      <x:c r="E21" s="89" t="n">
        <x:f>D21/2</x:f>
        <x:v>0.75</x:v>
      </x:c>
    </x:row>
    <x:row r="22">
      <x:c r="A22" s="62" t="str">
        <x:v>all_documents</x:v>
      </x:c>
      <x:c r="B22" s="77" t="str">
        <x:v>ar</x:v>
      </x:c>
      <x:c r="C22" s="77" t="n">
        <x:f>COUNTIFS('Scored Results'!$G$2:$G$61,A22,'Scored Results'!$C$2:$C$61,B22)</x:f>
        <x:v>10</x:v>
      </x:c>
      <x:c r="D22" s="81" t="n">
        <x:f>SUMIFS('Scored Results'!$K$2:$K$61,'Scored Results'!$G$2:$G$61,A22,'Scored Results'!$C$2:$C$61,B22)/C22</x:f>
        <x:v>1.3</x:v>
      </x:c>
      <x:c r="E22" s="89" t="n">
        <x:f>D22/2</x:f>
        <x:v>0.65</x:v>
      </x:c>
    </x:row>
    <x:row r="23">
      <x:c r="A23" s="64" t="str">
        <x:v>all_documents</x:v>
      </x:c>
      <x:c r="B23" s="78" t="str">
        <x:v>es</x:v>
      </x:c>
      <x:c r="C23" s="78" t="n">
        <x:f>COUNTIFS('Scored Results'!$G$2:$G$61,A23,'Scored Results'!$C$2:$C$61,B23)</x:f>
        <x:v>10</x:v>
      </x:c>
      <x:c r="D23" s="82" t="n">
        <x:f>SUMIFS('Scored Results'!$K$2:$K$61,'Scored Results'!$G$2:$G$61,A23,'Scored Results'!$C$2:$C$61,B23)/C23</x:f>
        <x:v>1.3</x:v>
      </x:c>
      <x:c r="E23" s="90" t="n">
        <x:f>D23/2</x:f>
        <x:v>0.65</x:v>
      </x:c>
    </x:row>
    <x:row r="26">
      <x:c r="A26" s="95" t="str">
        <x:v>Preliminary Findings</x:v>
      </x:c>
    </x:row>
    <x:row r="27">
      <x:c r="A27" s="101" t="str">
        <x:v>GPT-5.4 performed best when given only the supporting documents, earning 75.0% of the possible correctness points. The no-document condition reached 67.5%, while performance fell to 65.0% with all eight documents. This suggests that GPT-5.4 had strong general knowledge, benefited modestly from targeted evidence, and was still vulnerable to distractor documents. All 60 responses were produced in the correct language and none were refusals.</x:v>
      </x:c>
      <x:c r="B27" s="101"/>
      <x:c r="C27" s="101"/>
      <x:c r="D27" s="101"/>
      <x:c r="E27" s="101"/>
      <x:c r="F27" s="101"/>
      <x:c r="G27" s="101"/>
      <x:c r="H27" s="101"/>
      <x:c r="I27" s="101"/>
      <x:c r="J27" s="101"/>
      <x:c r="K27" s="101"/>
      <x:c r="L27" s="101"/>
    </x:row>
    <x:row r="28">
      <x:c r="A28" s="101"/>
      <x:c r="B28" s="101"/>
      <x:c r="C28" s="101"/>
      <x:c r="D28" s="101"/>
      <x:c r="E28" s="101"/>
      <x:c r="F28" s="101"/>
      <x:c r="G28" s="101"/>
      <x:c r="H28" s="101"/>
      <x:c r="I28" s="101"/>
      <x:c r="J28" s="101"/>
      <x:c r="K28" s="101"/>
      <x:c r="L28" s="101"/>
    </x:row>
    <x:row r="29">
      <x:c r="A29" s="101"/>
      <x:c r="B29" s="101"/>
      <x:c r="C29" s="101"/>
      <x:c r="D29" s="101"/>
      <x:c r="E29" s="101"/>
      <x:c r="F29" s="101"/>
      <x:c r="G29" s="101"/>
      <x:c r="H29" s="101"/>
      <x:c r="I29" s="101"/>
      <x:c r="J29" s="101"/>
      <x:c r="K29" s="101"/>
      <x:c r="L29" s="101"/>
    </x:row>
    <x:row r="30">
      <x:c r="A30" s="101"/>
      <x:c r="B30" s="101"/>
      <x:c r="C30" s="101"/>
      <x:c r="D30" s="101"/>
      <x:c r="E30" s="101"/>
      <x:c r="F30" s="101"/>
      <x:c r="G30" s="101"/>
      <x:c r="H30" s="101"/>
      <x:c r="I30" s="101"/>
      <x:c r="J30" s="101"/>
      <x:c r="K30" s="101"/>
      <x:c r="L30" s="101"/>
    </x:row>
    <x:row r="32">
      <x:c r="A32" s="104" t="str">
        <x:v>Limitations</x:v>
      </x:c>
    </x:row>
    <x:row r="33">
      <x:c r="A33" s="107" t="str">
        <x:v>These scores are a manual assessment of a 20-question pilot using two languages and one fixed prompt. The sample is small and the question types are unevenly distributed, so the percentages should be treated as preliminary rather than statistically conclusive.</x:v>
      </x:c>
      <x:c r="B33" s="107"/>
      <x:c r="C33" s="107"/>
      <x:c r="D33" s="107"/>
      <x:c r="E33" s="107"/>
      <x:c r="F33" s="107"/>
      <x:c r="G33" s="107"/>
      <x:c r="H33" s="107"/>
      <x:c r="I33" s="107"/>
      <x:c r="J33" s="107"/>
      <x:c r="K33" s="107"/>
      <x:c r="L33" s="107"/>
    </x:row>
    <x:row r="34">
      <x:c r="A34" s="107"/>
      <x:c r="B34" s="107"/>
      <x:c r="C34" s="107"/>
      <x:c r="D34" s="107"/>
      <x:c r="E34" s="107"/>
      <x:c r="F34" s="107"/>
      <x:c r="G34" s="107"/>
      <x:c r="H34" s="107"/>
      <x:c r="I34" s="107"/>
      <x:c r="J34" s="107"/>
      <x:c r="K34" s="107"/>
      <x:c r="L34" s="107"/>
    </x:row>
    <x:row r="35">
      <x:c r="A35" s="107"/>
      <x:c r="B35" s="107"/>
      <x:c r="C35" s="107"/>
      <x:c r="D35" s="107"/>
      <x:c r="E35" s="107"/>
      <x:c r="F35" s="107"/>
      <x:c r="G35" s="107"/>
      <x:c r="H35" s="107"/>
      <x:c r="I35" s="107"/>
      <x:c r="J35" s="107"/>
      <x:c r="K35" s="107"/>
      <x:c r="L35" s="107"/>
    </x:row>
  </x:sheetData>
  <x:mergeCells>
    <x:mergeCell ref="A1:L1"/>
    <x:mergeCell ref="A26:L26"/>
    <x:mergeCell ref="A27:L30"/>
    <x:mergeCell ref="A32:L32"/>
    <x:mergeCell ref="A33:L35"/>
  </x:mergeCells>
  <x:pageMargins left="0.7" right="0.7" top="0.75" bottom="0.75" header="0.3" footer="0.3"/>
  <x:drawing xmlns:r="http://schemas.openxmlformats.org/officeDocument/2006/relationships" r:id="R583bd0811fbb4cec"/>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24" hidden="0" customWidth="1"/>
    <x:col min="4" max="4" width="24" hidden="0" customWidth="1"/>
    <x:col min="5" max="5" width="24" hidden="0" customWidth="1"/>
    <x:col min="6" max="6" width="24" hidden="0" customWidth="1"/>
  </x:cols>
  <x:sheetData>
    <x:row r="1">
      <x:c r="A1" s="55" t="str">
        <x:v>Manual Scoring Rubric</x:v>
      </x:c>
    </x:row>
    <x:row r="3" ht="36" customHeight="1">
      <x:c r="A3" s="60" t="str">
        <x:v>Field</x:v>
      </x:c>
      <x:c r="B3" s="76" t="str">
        <x:v>Value</x:v>
      </x:c>
      <x:c r="C3" s="76" t="str">
        <x:v>Definition</x:v>
      </x:c>
      <x:c r="D3" s="76" t="str"/>
      <x:c r="E3" s="76" t="str"/>
      <x:c r="F3" s="61" t="str"/>
    </x:row>
    <x:row r="4" ht="36" customHeight="1">
      <x:c r="A4" s="109" t="str">
        <x:v>Correctness Score</x:v>
      </x:c>
      <x:c r="B4" s="99" t="str">
        <x:v>2</x:v>
      </x:c>
      <x:c r="C4" s="99" t="str">
        <x:v>Fully correct: answers the question and matches the essential content of the gold answer without a meaningful factual error.</x:v>
      </x:c>
      <x:c r="D4" s="99" t="str"/>
      <x:c r="E4" s="99" t="str"/>
      <x:c r="F4" s="110" t="str"/>
    </x:row>
    <x:row r="5" ht="36" customHeight="1">
      <x:c r="A5" s="109" t="str">
        <x:v>Correctness Score</x:v>
      </x:c>
      <x:c r="B5" s="99" t="str">
        <x:v>1</x:v>
      </x:c>
      <x:c r="C5" s="99" t="str">
        <x:v>Partially correct: captures part of the answer but omits a required element, contains a minor error, or includes distracting material.</x:v>
      </x:c>
      <x:c r="D5" s="99" t="str"/>
      <x:c r="E5" s="99" t="str"/>
      <x:c r="F5" s="110" t="str"/>
    </x:row>
    <x:row r="6" ht="36" customHeight="1">
      <x:c r="A6" s="109" t="str">
        <x:v>Correctness Score</x:v>
      </x:c>
      <x:c r="B6" s="99" t="str">
        <x:v>0</x:v>
      </x:c>
      <x:c r="C6" s="99" t="str">
        <x:v>Incorrect: fails to answer the question, gives the wrong central answer, or refuses.</x:v>
      </x:c>
      <x:c r="D6" s="99" t="str"/>
      <x:c r="E6" s="99" t="str"/>
      <x:c r="F6" s="110" t="str"/>
    </x:row>
    <x:row r="7" ht="36" customHeight="1">
      <x:c r="A7" s="109" t="str">
        <x:v>Refusal</x:v>
      </x:c>
      <x:c r="B7" s="99" t="str">
        <x:v>Yes/No</x:v>
      </x:c>
      <x:c r="C7" s="99" t="str">
        <x:v>Yes only when the model refuses or declines to answer.</x:v>
      </x:c>
      <x:c r="D7" s="99" t="str"/>
      <x:c r="E7" s="99" t="str"/>
      <x:c r="F7" s="110" t="str"/>
    </x:row>
    <x:row r="8" ht="36" customHeight="1">
      <x:c r="A8" s="109" t="str">
        <x:v>Correct Language</x:v>
      </x:c>
      <x:c r="B8" s="99" t="str">
        <x:v>Yes/No</x:v>
      </x:c>
      <x:c r="C8" s="99" t="str">
        <x:v>Yes when the answer is written in the same language as the question.</x:v>
      </x:c>
      <x:c r="D8" s="99" t="str"/>
      <x:c r="E8" s="99" t="str"/>
      <x:c r="F8" s="110" t="str"/>
    </x:row>
    <x:row r="9" ht="36" customHeight="1">
      <x:c r="A9" s="109"/>
      <x:c r="B9" s="99"/>
      <x:c r="C9" s="99"/>
      <x:c r="D9" s="99"/>
      <x:c r="E9" s="99"/>
      <x:c r="F9" s="110"/>
    </x:row>
    <x:row r="10" ht="36" customHeight="1">
      <x:c r="A10" s="109" t="str">
        <x:v>Unsupported Information</x:v>
      </x:c>
      <x:c r="B10" s="99" t="str">
        <x:v>Yes/No</x:v>
      </x:c>
      <x:c r="C10" s="99" t="str">
        <x:v>Yes when the answer introduces a meaningful claim that is not supported by the gold answer or conflicts with the required answer.</x:v>
      </x:c>
      <x:c r="D10" s="99" t="str"/>
      <x:c r="E10" s="99" t="str"/>
      <x:c r="F10" s="110" t="str"/>
    </x:row>
    <x:row r="11" ht="36" customHeight="1">
      <x:c r="A11" s="111" t="str">
        <x:v>Scoring Notes</x:v>
      </x:c>
      <x:c r="B11" s="112" t="str">
        <x:v>Text</x:v>
      </x:c>
      <x:c r="C11" s="112" t="str">
        <x:v>Brief explanation supporting the assigned score and flags.</x:v>
      </x:c>
      <x:c r="D11" s="112" t="str"/>
      <x:c r="E11" s="112" t="str"/>
      <x:c r="F11" s="113" t="str"/>
    </x:row>
  </x:sheetData>
  <x:mergeCells>
    <x:mergeCell ref="A1:F1"/>
  </x:mergeCells>
  <x:pageMargins left="0.7" right="0.7" top="0.75" bottom="0.75" header="0.3" footer="0.3"/>
</x:worksheet>
</file>