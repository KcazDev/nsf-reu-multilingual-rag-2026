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74fb17dd1f4709" /></Relationships>
</file>

<file path=xl/workbook.xml><?xml version="1.0" encoding="utf-8"?>
<x:workbook xmlns:x="http://schemas.openxmlformats.org/spreadsheetml/2006/main">
  <x:sheets>
    <x:sheet xmlns:r="http://schemas.openxmlformats.org/officeDocument/2006/relationships" name="Scored Results" sheetId="1" r:id="R08d4d6aa6813429d"/>
    <x:sheet xmlns:r="http://schemas.openxmlformats.org/officeDocument/2006/relationships" name="Summary" sheetId="2" r:id="Rb4e455adcac14a8e"/>
    <x:sheet xmlns:r="http://schemas.openxmlformats.org/officeDocument/2006/relationships" name="Rubric" sheetId="3" r:id="R5f6eab2abf73477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
  </x:numFmts>
  <x:fonts count="6">
    <x:font>
      <x:sz val="11"/>
      <x:name val="Carlito"/>
    </x:font>
    <x:font>
      <x:b/>
      <x:sz val="16"/>
      <x:color rgb="FFFFFFFF"/>
      <x:name val="Carlito"/>
    </x:font>
    <x:font>
      <x:i/>
      <x:sz val="11"/>
      <x:color rgb="FF17365D"/>
      <x:name val="Carlito"/>
    </x:font>
    <x:font>
      <x:b/>
      <x:sz val="11"/>
      <x:color rgb="FF17365D"/>
      <x:name val="Carlito"/>
    </x:font>
    <x:font>
      <x:b/>
      <x:sz val="11"/>
      <x:color rgb="FFFFFFFF"/>
      <x:name val="Carlito"/>
    </x:font>
    <x:font>
      <x:b/>
      <x:sz val="11"/>
      <x:color rgb="FF375623"/>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E2F0D9"/>
      </x:patternFill>
    </x:fill>
    <x:fill>
      <x:patternFill patternType="solid">
        <x:fgColor rgb="FFD9A441"/>
      </x:patternFill>
    </x:fill>
    <x:fill>
      <x:patternFill patternType="solid">
        <x:fgColor rgb="FFF2F2F2"/>
      </x:patternFill>
    </x:fill>
  </x:fills>
  <x:borders count="30">
    <x:border/>
    <x:border/>
    <x:border>
      <x:left/>
      <x:top/>
    </x:border>
    <x:border>
      <x:top/>
    </x:border>
    <x:border>
      <x:right/>
      <x:top/>
    </x:border>
    <x:border>
      <x:left/>
      <x:bottom/>
    </x:border>
    <x:border>
      <x:bottom/>
    </x:border>
    <x:border>
      <x:right/>
      <x:bottom/>
    </x:border>
    <x:border>
      <x:left/>
      <x:top/>
    </x:border>
    <x:border>
      <x:top/>
    </x:border>
    <x:border>
      <x:right/>
      <x:top/>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0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3" fillId="0" borderId="2"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2"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x:xf>
    <x:xf numFmtId="0" fontId="0" fillId="0" borderId="1" xfId="0" applyNumberFormat="1" applyFont="1" applyFill="1" applyBorder="1" applyAlignment="1">
      <x:alignment horizontal="center" vertical="top"/>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0" borderId="14" xfId="0" applyNumberFormat="1" applyFont="1" applyFill="1" applyBorder="1"/>
    <x:xf numFmtId="0" fontId="0" fillId="0" borderId="15" xfId="0" applyNumberFormat="1" applyFont="1" applyFill="1" applyBorder="1"/>
    <x:xf numFmtId="200" fontId="0" fillId="0" borderId="15" xfId="0" applyNumberFormat="1" applyFont="1" applyFill="1" applyBorder="1"/>
    <x:xf numFmtId="201"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0"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200" fontId="0" fillId="0" borderId="20" xfId="0" applyNumberFormat="1" applyFont="1" applyFill="1" applyBorder="1"/>
    <x:xf numFmtId="201"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200" fontId="0" fillId="0" borderId="23" xfId="0" applyNumberFormat="1" applyFont="1" applyFill="1" applyBorder="1"/>
    <x:xf numFmtId="201"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200" fontId="0" fillId="0" borderId="28" xfId="0" applyNumberFormat="1" applyFont="1" applyFill="1" applyBorder="1"/>
    <x:xf numFmtId="201" fontId="0" fillId="0" borderId="28" xfId="0" applyNumberFormat="1" applyFont="1" applyFill="1" applyBorder="1"/>
    <x:xf numFmtId="0" fontId="0" fillId="0" borderId="29" xfId="0" applyNumberFormat="1" applyFont="1" applyFill="1" applyBorder="1"/>
    <x:xf numFmtId="0" fontId="0" fillId="0" borderId="14" xfId="0" applyNumberFormat="1" applyFont="1" applyFill="1" applyBorder="1" applyAlignment="1">
      <x:alignment vertical="center"/>
    </x:xf>
    <x:xf numFmtId="0" fontId="0" fillId="0" borderId="15" xfId="0" applyNumberFormat="1" applyFont="1" applyFill="1" applyBorder="1" applyAlignment="1">
      <x:alignment vertical="center"/>
    </x:xf>
    <x:xf numFmtId="200" fontId="0" fillId="0" borderId="15" xfId="0" applyNumberFormat="1" applyFont="1" applyFill="1" applyBorder="1" applyAlignment="1">
      <x:alignment vertical="center"/>
    </x:xf>
    <x:xf numFmtId="201" fontId="0" fillId="0" borderId="15" xfId="0" applyNumberFormat="1" applyFont="1" applyFill="1" applyBorder="1" applyAlignment="1">
      <x:alignment vertical="center"/>
    </x:xf>
    <x:xf numFmtId="0" fontId="0" fillId="0" borderId="16" xfId="0" applyNumberFormat="1" applyFont="1" applyFill="1" applyBorder="1" applyAlignment="1">
      <x:alignment vertical="center"/>
    </x:xf>
    <x:xf numFmtId="0" fontId="0" fillId="0" borderId="17" xfId="0" applyNumberFormat="1" applyFont="1" applyFill="1" applyBorder="1" applyAlignment="1">
      <x:alignment vertical="center"/>
    </x:xf>
    <x:xf numFmtId="0" fontId="0" fillId="0" borderId="0" xfId="0" applyNumberFormat="1" applyFont="1" applyFill="1" applyBorder="1" applyAlignment="1">
      <x:alignment vertical="center"/>
    </x:xf>
    <x:xf numFmtId="20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0" fontId="0" fillId="0" borderId="18" xfId="0" applyNumberFormat="1" applyFont="1" applyFill="1" applyBorder="1" applyAlignment="1">
      <x:alignment vertical="center"/>
    </x:xf>
    <x:xf numFmtId="0" fontId="0" fillId="0" borderId="19" xfId="0" applyNumberFormat="1" applyFont="1" applyFill="1" applyBorder="1" applyAlignment="1">
      <x:alignment vertical="center"/>
    </x:xf>
    <x:xf numFmtId="0" fontId="0" fillId="0" borderId="20" xfId="0" applyNumberFormat="1" applyFont="1" applyFill="1" applyBorder="1" applyAlignment="1">
      <x:alignment vertical="center"/>
    </x:xf>
    <x:xf numFmtId="200" fontId="0" fillId="0" borderId="20" xfId="0" applyNumberFormat="1" applyFont="1" applyFill="1" applyBorder="1" applyAlignment="1">
      <x:alignment vertical="center"/>
    </x:xf>
    <x:xf numFmtId="201" fontId="0" fillId="0" borderId="20" xfId="0" applyNumberFormat="1" applyFont="1" applyFill="1" applyBorder="1" applyAlignment="1">
      <x:alignment vertical="center"/>
    </x:xf>
    <x:xf numFmtId="0" fontId="0" fillId="0" borderId="21" xfId="0" applyNumberFormat="1" applyFont="1" applyFill="1" applyBorder="1" applyAlignment="1">
      <x:alignment vertical="center"/>
    </x:xf>
    <x:xf numFmtId="0" fontId="0" fillId="0" borderId="22" xfId="0" applyNumberFormat="1" applyFont="1" applyFill="1" applyBorder="1" applyAlignment="1">
      <x:alignment vertical="center"/>
    </x:xf>
    <x:xf numFmtId="0" fontId="0" fillId="0" borderId="23" xfId="0" applyNumberFormat="1" applyFont="1" applyFill="1" applyBorder="1" applyAlignment="1">
      <x:alignment vertical="center"/>
    </x:xf>
    <x:xf numFmtId="200" fontId="0" fillId="0" borderId="23" xfId="0" applyNumberFormat="1" applyFont="1" applyFill="1" applyBorder="1" applyAlignment="1">
      <x:alignment vertical="center"/>
    </x:xf>
    <x:xf numFmtId="201" fontId="0" fillId="0" borderId="23" xfId="0" applyNumberFormat="1" applyFont="1" applyFill="1" applyBorder="1" applyAlignment="1">
      <x:alignment vertical="center"/>
    </x:xf>
    <x:xf numFmtId="0" fontId="0" fillId="0" borderId="24" xfId="0" applyNumberFormat="1" applyFont="1" applyFill="1" applyBorder="1" applyAlignment="1">
      <x:alignment vertical="center"/>
    </x:xf>
    <x:xf numFmtId="0" fontId="0" fillId="0" borderId="25" xfId="0" applyNumberFormat="1" applyFont="1" applyFill="1" applyBorder="1" applyAlignment="1">
      <x:alignment vertical="center"/>
    </x:xf>
    <x:xf numFmtId="0" fontId="0" fillId="0" borderId="1" xfId="0" applyNumberFormat="1" applyFont="1" applyFill="1" applyBorder="1" applyAlignment="1">
      <x:alignment vertical="center"/>
    </x:xf>
    <x:xf numFmtId="200" fontId="0" fillId="0" borderId="1" xfId="0" applyNumberFormat="1" applyFont="1" applyFill="1" applyBorder="1" applyAlignment="1">
      <x:alignment vertical="center"/>
    </x:xf>
    <x:xf numFmtId="201" fontId="0" fillId="0" borderId="1" xfId="0" applyNumberFormat="1" applyFont="1" applyFill="1" applyBorder="1" applyAlignment="1">
      <x:alignment vertical="center"/>
    </x:xf>
    <x:xf numFmtId="0" fontId="0" fillId="0" borderId="26" xfId="0" applyNumberFormat="1" applyFont="1" applyFill="1" applyBorder="1" applyAlignment="1">
      <x:alignment vertical="center"/>
    </x:xf>
    <x:xf numFmtId="0" fontId="0" fillId="0" borderId="27" xfId="0" applyNumberFormat="1" applyFont="1" applyFill="1" applyBorder="1" applyAlignment="1">
      <x:alignment vertical="center"/>
    </x:xf>
    <x:xf numFmtId="0" fontId="0" fillId="0" borderId="28" xfId="0" applyNumberFormat="1" applyFont="1" applyFill="1" applyBorder="1" applyAlignment="1">
      <x:alignment vertical="center"/>
    </x:xf>
    <x:xf numFmtId="200" fontId="0" fillId="0" borderId="28" xfId="0" applyNumberFormat="1" applyFont="1" applyFill="1" applyBorder="1" applyAlignment="1">
      <x:alignment vertical="center"/>
    </x:xf>
    <x:xf numFmtId="201" fontId="0" fillId="0" borderId="28" xfId="0" applyNumberFormat="1" applyFont="1" applyFill="1" applyBorder="1" applyAlignment="1">
      <x:alignment vertical="center"/>
    </x:xf>
    <x:xf numFmtId="0" fontId="0" fillId="0" borderId="29" xfId="0" applyNumberFormat="1" applyFont="1" applyFill="1" applyBorder="1" applyAlignment="1">
      <x:alignment vertical="center"/>
    </x:xf>
    <x:xf numFmtId="0" fontId="0" fillId="0" borderId="15" xfId="0" applyNumberFormat="1" applyFont="1" applyFill="1" applyBorder="1" applyAlignment="1">
      <x:alignment horizontal="center" vertical="center"/>
    </x:xf>
    <x:xf numFmtId="200" fontId="0" fillId="0" borderId="15" xfId="0" applyNumberFormat="1" applyFont="1" applyFill="1" applyBorder="1" applyAlignment="1">
      <x:alignment horizontal="center" vertical="center"/>
    </x:xf>
    <x:xf numFmtId="201" fontId="0" fillId="0" borderId="15" xfId="0" applyNumberFormat="1" applyFont="1" applyFill="1" applyBorder="1" applyAlignment="1">
      <x:alignment horizontal="center" vertical="center"/>
    </x:xf>
    <x:xf numFmtId="0" fontId="0" fillId="0" borderId="16" xfId="0" applyNumberFormat="1" applyFont="1" applyFill="1" applyBorder="1" applyAlignment="1">
      <x:alignment horizontal="center" vertical="center"/>
    </x:xf>
    <x:xf numFmtId="0" fontId="0" fillId="0" borderId="0" xfId="0" applyNumberFormat="1" applyFont="1" applyFill="1" applyBorder="1" applyAlignment="1">
      <x:alignment horizontal="center" vertical="center"/>
    </x:xf>
    <x:xf numFmtId="200" fontId="0" fillId="0" borderId="0"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x:xf>
    <x:xf numFmtId="0" fontId="0" fillId="0" borderId="18" xfId="0" applyNumberFormat="1" applyFont="1" applyFill="1" applyBorder="1" applyAlignment="1">
      <x:alignment horizontal="center" vertical="center"/>
    </x:xf>
    <x:xf numFmtId="0" fontId="0" fillId="0" borderId="20" xfId="0" applyNumberFormat="1" applyFont="1" applyFill="1" applyBorder="1" applyAlignment="1">
      <x:alignment horizontal="center" vertical="center"/>
    </x:xf>
    <x:xf numFmtId="200" fontId="0" fillId="0" borderId="20" xfId="0" applyNumberFormat="1" applyFont="1" applyFill="1" applyBorder="1" applyAlignment="1">
      <x:alignment horizontal="center" vertical="center"/>
    </x:xf>
    <x:xf numFmtId="201" fontId="0" fillId="0" borderId="20" xfId="0" applyNumberFormat="1" applyFont="1" applyFill="1" applyBorder="1" applyAlignment="1">
      <x:alignment horizontal="center" vertical="center"/>
    </x:xf>
    <x:xf numFmtId="0" fontId="0" fillId="0" borderId="21" xfId="0" applyNumberFormat="1" applyFont="1" applyFill="1" applyBorder="1" applyAlignment="1">
      <x:alignment horizontal="center" vertical="center"/>
    </x:xf>
    <x:xf numFmtId="0" fontId="0" fillId="0" borderId="23" xfId="0" applyNumberFormat="1" applyFont="1" applyFill="1" applyBorder="1" applyAlignment="1">
      <x:alignment horizontal="center" vertical="center"/>
    </x:xf>
    <x:xf numFmtId="200" fontId="0" fillId="0" borderId="23" xfId="0" applyNumberFormat="1" applyFont="1" applyFill="1" applyBorder="1" applyAlignment="1">
      <x:alignment horizontal="center" vertical="center"/>
    </x:xf>
    <x:xf numFmtId="201" fontId="0" fillId="0" borderId="23" xfId="0" applyNumberFormat="1" applyFont="1" applyFill="1" applyBorder="1" applyAlignment="1">
      <x:alignment horizontal="center" vertical="center"/>
    </x:xf>
    <x:xf numFmtId="0" fontId="0" fillId="0" borderId="24" xfId="0" applyNumberFormat="1" applyFont="1" applyFill="1" applyBorder="1" applyAlignment="1">
      <x:alignment horizontal="center" vertical="center"/>
    </x:xf>
    <x:xf numFmtId="0" fontId="0" fillId="0" borderId="1" xfId="0" applyNumberFormat="1" applyFont="1" applyFill="1" applyBorder="1" applyAlignment="1">
      <x:alignment horizontal="center" vertical="center"/>
    </x:xf>
    <x:xf numFmtId="200" fontId="0" fillId="0" borderId="1" xfId="0" applyNumberFormat="1" applyFont="1" applyFill="1" applyBorder="1" applyAlignment="1">
      <x:alignment horizontal="center" vertical="center"/>
    </x:xf>
    <x:xf numFmtId="201" fontId="0" fillId="0" borderId="1" xfId="0" applyNumberFormat="1" applyFont="1" applyFill="1" applyBorder="1" applyAlignment="1">
      <x:alignment horizontal="center" vertical="center"/>
    </x:xf>
    <x:xf numFmtId="0" fontId="0" fillId="0" borderId="26" xfId="0" applyNumberFormat="1" applyFont="1" applyFill="1" applyBorder="1" applyAlignment="1">
      <x:alignment horizontal="center" vertical="center"/>
    </x:xf>
    <x:xf numFmtId="0" fontId="0" fillId="0" borderId="28" xfId="0" applyNumberFormat="1" applyFont="1" applyFill="1" applyBorder="1" applyAlignment="1">
      <x:alignment horizontal="center" vertical="center"/>
    </x:xf>
    <x:xf numFmtId="200" fontId="0" fillId="0" borderId="28" xfId="0" applyNumberFormat="1" applyFont="1" applyFill="1" applyBorder="1" applyAlignment="1">
      <x:alignment horizontal="center" vertical="center"/>
    </x:xf>
    <x:xf numFmtId="201" fontId="0" fillId="0" borderId="28" xfId="0" applyNumberFormat="1" applyFont="1" applyFill="1" applyBorder="1" applyAlignment="1">
      <x:alignment horizontal="center" vertical="center"/>
    </x:xf>
    <x:xf numFmtId="0" fontId="0" fillId="0" borderId="29" xfId="0" applyNumberFormat="1" applyFont="1" applyFill="1" applyBorder="1" applyAlignment="1">
      <x:alignment horizontal="center" vertical="center"/>
    </x:xf>
    <x:xf numFmtId="0" fontId="0" fillId="5" borderId="17" xfId="0" applyNumberFormat="1" applyFont="1" applyFill="1" applyBorder="1" applyAlignment="1">
      <x:alignment vertical="center"/>
    </x:xf>
    <x:xf numFmtId="0" fontId="0" fillId="5" borderId="0" xfId="0" applyNumberFormat="1" applyFont="1" applyFill="1" applyBorder="1" applyAlignment="1">
      <x:alignment horizontal="center" vertical="center"/>
    </x:xf>
    <x:xf numFmtId="200" fontId="0" fillId="5" borderId="0" xfId="0" applyNumberFormat="1" applyFont="1" applyFill="1" applyBorder="1" applyAlignment="1">
      <x:alignment horizontal="center" vertical="center"/>
    </x:xf>
    <x:xf numFmtId="201" fontId="0" fillId="5" borderId="0" xfId="0" applyNumberFormat="1" applyFont="1" applyFill="1" applyBorder="1" applyAlignment="1">
      <x:alignment horizontal="center" vertical="center"/>
    </x:xf>
    <x:xf numFmtId="0" fontId="0" fillId="5" borderId="18" xfId="0" applyNumberFormat="1" applyFont="1" applyFill="1" applyBorder="1" applyAlignment="1">
      <x:alignment horizontal="center" vertical="center"/>
    </x:xf>
    <x:xf numFmtId="0" fontId="0" fillId="5" borderId="25" xfId="0" applyNumberFormat="1" applyFont="1" applyFill="1" applyBorder="1" applyAlignment="1">
      <x:alignment vertical="center"/>
    </x:xf>
    <x:xf numFmtId="0" fontId="0" fillId="5" borderId="1" xfId="0" applyNumberFormat="1" applyFont="1" applyFill="1" applyBorder="1" applyAlignment="1">
      <x:alignment horizontal="center" vertical="center"/>
    </x:xf>
    <x:xf numFmtId="200" fontId="0" fillId="5" borderId="1" xfId="0" applyNumberFormat="1" applyFont="1" applyFill="1" applyBorder="1" applyAlignment="1">
      <x:alignment horizontal="center" vertical="center"/>
    </x:xf>
    <x:xf numFmtId="201" fontId="0" fillId="5" borderId="1" xfId="0" applyNumberFormat="1" applyFont="1" applyFill="1" applyBorder="1" applyAlignment="1">
      <x:alignment horizontal="center" vertical="center"/>
    </x:xf>
    <x:xf numFmtId="0" fontId="0" fillId="5" borderId="26" xfId="0" applyNumberFormat="1" applyFont="1" applyFill="1" applyBorder="1" applyAlignment="1">
      <x:alignment horizontal="center" vertical="center"/>
    </x:xf>
    <x:xf numFmtId="0" fontId="5" fillId="5" borderId="17" xfId="0" applyNumberFormat="1" applyFont="1" applyFill="1" applyBorder="1" applyAlignment="1">
      <x:alignment vertical="center"/>
    </x:xf>
    <x:xf numFmtId="0" fontId="5" fillId="5" borderId="0" xfId="0" applyNumberFormat="1" applyFont="1" applyFill="1" applyBorder="1" applyAlignment="1">
      <x:alignment horizontal="center" vertical="center"/>
    </x:xf>
    <x:xf numFmtId="200" fontId="5" fillId="5" borderId="0" xfId="0" applyNumberFormat="1" applyFont="1" applyFill="1" applyBorder="1" applyAlignment="1">
      <x:alignment horizontal="center" vertical="center"/>
    </x:xf>
    <x:xf numFmtId="201" fontId="5" fillId="5" borderId="0" xfId="0" applyNumberFormat="1" applyFont="1" applyFill="1" applyBorder="1" applyAlignment="1">
      <x:alignment horizontal="center" vertical="center"/>
    </x:xf>
    <x:xf numFmtId="0" fontId="5" fillId="5" borderId="18" xfId="0" applyNumberFormat="1" applyFont="1" applyFill="1" applyBorder="1" applyAlignment="1">
      <x:alignment horizontal="center" vertical="center"/>
    </x:xf>
    <x:xf numFmtId="0" fontId="5" fillId="5" borderId="25" xfId="0" applyNumberFormat="1" applyFont="1" applyFill="1" applyBorder="1" applyAlignment="1">
      <x:alignment vertical="center"/>
    </x:xf>
    <x:xf numFmtId="0" fontId="5" fillId="5" borderId="1" xfId="0" applyNumberFormat="1" applyFont="1" applyFill="1" applyBorder="1" applyAlignment="1">
      <x:alignment horizontal="center" vertical="center"/>
    </x:xf>
    <x:xf numFmtId="200" fontId="5" fillId="5" borderId="1" xfId="0" applyNumberFormat="1" applyFont="1" applyFill="1" applyBorder="1" applyAlignment="1">
      <x:alignment horizontal="center" vertical="center"/>
    </x:xf>
    <x:xf numFmtId="201" fontId="5" fillId="5" borderId="1" xfId="0" applyNumberFormat="1" applyFont="1" applyFill="1" applyBorder="1" applyAlignment="1">
      <x:alignment horizontal="center" vertical="center"/>
    </x:xf>
    <x:xf numFmtId="0" fontId="5" fillId="5" borderId="26" xfId="0" applyNumberFormat="1" applyFont="1" applyFill="1" applyBorder="1" applyAlignment="1">
      <x:alignment horizontal="center"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horizontal="center"/>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horizont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3" fillId="7" borderId="14" xfId="0" applyNumberFormat="1" applyFont="1" applyFill="1" applyBorder="1" applyAlignment="1">
      <x:alignment horizontal="center"/>
    </x:xf>
    <x:xf numFmtId="0" fontId="3" fillId="7" borderId="15" xfId="0" applyNumberFormat="1" applyFont="1" applyFill="1" applyBorder="1" applyAlignment="1">
      <x:alignment horizontal="center"/>
    </x:xf>
    <x:xf numFmtId="0" fontId="3" fillId="7" borderId="16" xfId="0" applyNumberFormat="1" applyFont="1" applyFill="1" applyBorder="1" applyAlignment="1">
      <x:alignment horizontal="center"/>
    </x:xf>
    <x:xf numFmtId="200" fontId="0" fillId="0" borderId="18" xfId="0" applyNumberFormat="1" applyFont="1" applyFill="1" applyBorder="1"/>
    <x:xf numFmtId="200" fontId="0" fillId="0" borderId="21" xfId="0" applyNumberFormat="1" applyFont="1" applyFill="1" applyBorder="1"/>
    <x:xf numFmtId="0" fontId="3" fillId="7" borderId="22" xfId="0" applyNumberFormat="1" applyFont="1" applyFill="1" applyBorder="1" applyAlignment="1">
      <x:alignment horizontal="center"/>
    </x:xf>
    <x:xf numFmtId="0" fontId="3" fillId="7" borderId="23" xfId="0" applyNumberFormat="1" applyFont="1" applyFill="1" applyBorder="1" applyAlignment="1">
      <x:alignment horizontal="center"/>
    </x:xf>
    <x:xf numFmtId="0" fontId="3" fillId="7" borderId="24" xfId="0" applyNumberFormat="1" applyFont="1" applyFill="1" applyBorder="1" applyAlignment="1">
      <x:alignment horizontal="center"/>
    </x:xf>
    <x:xf numFmtId="200" fontId="0" fillId="0" borderId="26" xfId="0" applyNumberFormat="1" applyFont="1" applyFill="1" applyBorder="1"/>
    <x:xf numFmtId="200" fontId="0" fillId="0" borderId="29"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3" fillId="3" borderId="0" xfId="0" applyNumberFormat="1" applyFont="1" applyFill="1" applyBorder="1"/>
    <x:xf numFmtId="0" fontId="3" fillId="3" borderId="0" xfId="0" applyNumberFormat="1" applyFont="1" applyFill="1" applyBorder="1" applyAlignment="1">
      <x:alignment vertical="top"/>
    </x:xf>
    <x:xf numFmtId="0" fontId="3" fillId="3" borderId="1" xfId="0" applyNumberFormat="1" applyFont="1" applyFill="1" applyBorder="1"/>
    <x:xf numFmtId="0" fontId="3" fillId="3" borderId="1" xfId="0" applyNumberFormat="1" applyFont="1" applyFill="1" applyBorder="1" applyAlignment="1">
      <x:alignment vertical="top"/>
    </x:xf>
    <x:xf numFmtId="0" fontId="3" fillId="3" borderId="14" xfId="0" applyNumberFormat="1" applyFont="1" applyFill="1" applyBorder="1" applyAlignment="1">
      <x:alignment vertical="top"/>
    </x:xf>
    <x:xf numFmtId="0" fontId="0" fillId="0" borderId="16" xfId="0" applyNumberFormat="1" applyFont="1" applyFill="1" applyBorder="1" applyAlignment="1">
      <x:alignment wrapText="1"/>
    </x:xf>
    <x:xf numFmtId="0" fontId="3" fillId="3" borderId="17" xfId="0" applyNumberFormat="1" applyFont="1" applyFill="1" applyBorder="1" applyAlignment="1">
      <x:alignment vertical="top"/>
    </x:xf>
    <x:xf numFmtId="0" fontId="0" fillId="0" borderId="18" xfId="0" applyNumberFormat="1" applyFont="1" applyFill="1" applyBorder="1" applyAlignment="1">
      <x:alignment wrapText="1"/>
    </x:xf>
    <x:xf numFmtId="0" fontId="3" fillId="3" borderId="19" xfId="0" applyNumberFormat="1" applyFont="1" applyFill="1" applyBorder="1" applyAlignment="1">
      <x:alignment vertical="top"/>
    </x:xf>
    <x:xf numFmtId="0" fontId="0" fillId="0" borderId="21" xfId="0" applyNumberFormat="1" applyFont="1" applyFill="1" applyBorder="1" applyAlignment="1">
      <x:alignment wrapText="1"/>
    </x:xf>
    <x:xf numFmtId="0" fontId="3" fillId="3" borderId="22" xfId="0" applyNumberFormat="1" applyFont="1" applyFill="1" applyBorder="1" applyAlignment="1">
      <x:alignment vertical="top"/>
    </x:xf>
    <x:xf numFmtId="0" fontId="0" fillId="0" borderId="24" xfId="0" applyNumberFormat="1" applyFont="1" applyFill="1" applyBorder="1" applyAlignment="1">
      <x:alignment wrapText="1"/>
    </x:xf>
    <x:xf numFmtId="0" fontId="3" fillId="3" borderId="25" xfId="0" applyNumberFormat="1" applyFont="1" applyFill="1" applyBorder="1" applyAlignment="1">
      <x:alignment vertical="top"/>
    </x:xf>
    <x:xf numFmtId="0" fontId="0" fillId="0" borderId="26" xfId="0" applyNumberFormat="1" applyFont="1" applyFill="1" applyBorder="1" applyAlignment="1">
      <x:alignment wrapText="1"/>
    </x:xf>
    <x:xf numFmtId="0" fontId="3" fillId="3" borderId="27" xfId="0" applyNumberFormat="1" applyFont="1" applyFill="1" applyBorder="1" applyAlignment="1">
      <x:alignment vertical="top"/>
    </x:xf>
    <x:xf numFmtId="0" fontId="0" fillId="0" borderId="29" xfId="0" applyNumberFormat="1" applyFont="1" applyFill="1" applyBorder="1" applyAlignment="1">
      <x:alignment wrapText="1"/>
    </x:xf>
    <x:xf numFmtId="0" fontId="4" fillId="4" borderId="0" xfId="0" applyNumberFormat="1" applyFont="1" applyFill="1" applyBorder="1" applyAlignment="1">
      <x:alignment horizontal="center"/>
    </x:xf>
    <x:xf numFmtId="0" fontId="4" fillId="4" borderId="1" xfId="0" applyNumberFormat="1" applyFont="1" applyFill="1" applyBorder="1" applyAlignment="1">
      <x:alignment horizontal="center"/>
    </x:xf>
    <x:xf numFmtId="0" fontId="4" fillId="4" borderId="14" xfId="0" applyNumberFormat="1" applyFont="1" applyFill="1" applyBorder="1" applyAlignment="1">
      <x:alignment horizontal="center"/>
    </x:xf>
    <x:xf numFmtId="0" fontId="4" fillId="4" borderId="16" xfId="0" applyNumberFormat="1" applyFont="1" applyFill="1" applyBorder="1" applyAlignment="1">
      <x:alignment horizontal="center"/>
    </x:xf>
  </x:cellXfs>
  <x:cellStyles count="1">
    <x:cellStyle name="Normal" xfId="0"/>
  </x:cellStyles>
  <x:dxfs count="3">
    <x:dxf>
      <x:font>
        <x:b/>
        <x:color rgb="FFC00000"/>
      </x:font>
      <x:fill>
        <x:patternFill patternType="solid">
          <x:bgColor rgb="FFFCE4D6"/>
        </x:patternFill>
      </x:fill>
    </x:dxf>
    <x:dxf>
      <x:font>
        <x:b/>
        <x:color rgb="FFC00000"/>
      </x:font>
      <x:fill>
        <x:patternFill patternType="solid">
          <x:bgColor rgb="FFFCE4D6"/>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0c605e19cbf479e" /><Relationship Type="http://schemas.openxmlformats.org/officeDocument/2006/relationships/theme" Target="/xl/theme/theme1.xml" Id="R6b342076ccfd4828" /><Relationship Type="http://schemas.openxmlformats.org/officeDocument/2006/relationships/sharedStrings" Target="/xl/sharedStrings.xml" Id="R547c02381e0d46bc" /><Relationship Type="http://schemas.openxmlformats.org/officeDocument/2006/relationships/worksheet" Target="/xl/worksheets/sheet1.xml" Id="R08d4d6aa6813429d" /><Relationship Type="http://schemas.openxmlformats.org/officeDocument/2006/relationships/worksheet" Target="/xl/worksheets/sheet2.xml" Id="Rb4e455adcac14a8e" /><Relationship Type="http://schemas.openxmlformats.org/officeDocument/2006/relationships/worksheet" Target="/xl/worksheets/sheet3.xml" Id="R5f6eab2abf73477d" /></Relationships>
</file>

<file path=xl/drawings/_rels/drawing1.xml.rels>&#65279;<?xml version="1.0" encoding="utf-8"?><Relationships xmlns="http://schemas.openxmlformats.org/package/2006/relationships"><Relationship Type="http://schemas.openxmlformats.org/officeDocument/2006/relationships/chart" Target="/xl/drawings/charts/chart1.xml" Id="Re94fc9915fe5465c"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Average score</c:v>
          </c:tx>
          <c:cat>
            <c:strRef>
              <c:f>'Summary'!$A$5:$A$7</c:f>
              <c:strCache>
                <c:ptCount val="0"/>
              </c:strCache>
            </c:strRef>
          </c:cat>
          <c:val>
            <c:numRef>
              <c:f>'Summary'!$C$5:$C$7</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Average score (0–2)</a:t>
                </a:r>
              </a:p>
            </c:rich>
          </c:tx>
          <c:overlay val="0"/>
        </c:title>
        <c:numFmt formatCode="0.0"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94fc9915fe5465c"/>
        </a:graphicData>
      </a:graphic>
    </xdr:graphicFrame>
    <xdr:clientData/>
  </xdr:twoCellAnchor>
</xdr:wsDr>
</file>

<file path=xl/tables/table1.xml><?xml version="1.0" encoding="utf-8"?>
<x:table xmlns:x="http://schemas.openxmlformats.org/spreadsheetml/2006/main" id="1" name="SonnetScoredResults" displayName="SonnetScoredResults" ref="A6:Q66" headerRowCount="1">
  <x:tableColumns count="17">
    <x:tableColumn id="1" name="example_number"/>
    <x:tableColumn id="2" name="xrag_id"/>
    <x:tableColumn id="3" name="language"/>
    <x:tableColumn id="4" name="task"/>
    <x:tableColumn id="5" name="question_type"/>
    <x:tableColumn id="6" name="crossdoc_type"/>
    <x:tableColumn id="7" name="condition"/>
    <x:tableColumn id="8" name="question"/>
    <x:tableColumn id="9" name="gold_answer"/>
    <x:tableColumn id="10" name="model_answer"/>
    <x:tableColumn id="11" name="correctness_score"/>
    <x:tableColumn id="12" name="refusal"/>
    <x:tableColumn id="13" name="correct_language"/>
    <x:tableColumn id="14" name="unsupported_information"/>
    <x:tableColumn id="15" name="review_notes"/>
    <x:tableColumn id="16" name="input_tokens"/>
    <x:tableColumn id="17" name="output_token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603d8f4b43e4786" /></Relationships>
</file>

<file path=xl/worksheets/_rels/sheet2.xml.rels>&#65279;<?xml version="1.0" encoding="utf-8"?><Relationships xmlns="http://schemas.openxmlformats.org/package/2006/relationships"><Relationship Type="http://schemas.openxmlformats.org/officeDocument/2006/relationships/drawing" Target="/xl/drawings/drawing1.xml" Id="Re80c784c6d754cbe" /></Relationships>
</file>

<file path=xl/worksheets/sheet1.xml><?xml version="1.0" encoding="utf-8"?>
<x:worksheet xmlns:x="http://schemas.openxmlformats.org/spreadsheetml/2006/main">
  <x:sheetFormatPr defaultRowHeight="15"/>
  <x:cols>
    <x:col min="1" max="1" width="10" hidden="0" customWidth="1"/>
    <x:col min="2" max="2" width="10" hidden="0" customWidth="1"/>
    <x:col min="3" max="3" width="9" hidden="0" customWidth="1"/>
    <x:col min="4" max="4" width="18" hidden="0" customWidth="1"/>
    <x:col min="5" max="5" width="16" hidden="0" customWidth="1"/>
    <x:col min="6" max="6" width="12" hidden="0" customWidth="1"/>
    <x:col min="7" max="7" width="18" hidden="0" customWidth="1"/>
    <x:col min="8" max="8" width="38" hidden="0" customWidth="1"/>
    <x:col min="9" max="9" width="38" hidden="0" customWidth="1"/>
    <x:col min="10" max="10" width="42" hidden="0" customWidth="1"/>
    <x:col min="11" max="11" width="12" hidden="0" customWidth="1"/>
    <x:col min="12" max="12" width="10" hidden="0" customWidth="1"/>
    <x:col min="13" max="13" width="14" hidden="0" customWidth="1"/>
    <x:col min="14" max="14" width="18" hidden="0" customWidth="1"/>
    <x:col min="15" max="15" width="40" hidden="0" customWidth="1"/>
    <x:col min="16" max="16" width="13" hidden="0" customWidth="1"/>
    <x:col min="17" max="17" width="13" hidden="0" customWidth="1"/>
  </x:cols>
  <x:sheetData>
    <x:row r="1" ht="28" customHeight="1">
      <x:c r="A1" s="5" t="str">
        <x:v>XRAG Pilot — Claude Sonnet 4.6 Scored Results</x:v>
      </x:c>
      <x:c r="B1" s="5"/>
      <x:c r="C1" s="5"/>
      <x:c r="D1" s="5"/>
      <x:c r="E1" s="5"/>
      <x:c r="F1" s="5"/>
      <x:c r="G1" s="5"/>
      <x:c r="H1" s="5"/>
      <x:c r="I1" s="5"/>
      <x:c r="J1" s="5"/>
      <x:c r="K1" s="5"/>
      <x:c r="L1" s="5"/>
      <x:c r="M1" s="5"/>
      <x:c r="N1" s="5"/>
      <x:c r="O1" s="5"/>
      <x:c r="P1" s="5"/>
      <x:c r="Q1" s="5"/>
    </x:row>
    <x:row r="2" ht="22" customHeight="1">
      <x:c r="A2" s="12" t="str">
        <x:v>20 XRAG questions × 3 retrieval conditions = 60 scored responses</x:v>
      </x:c>
      <x:c r="B2" s="12"/>
      <x:c r="C2" s="12"/>
      <x:c r="D2" s="12"/>
      <x:c r="E2" s="12"/>
      <x:c r="F2" s="12"/>
      <x:c r="G2" s="12"/>
      <x:c r="H2" s="12"/>
      <x:c r="I2" s="12"/>
      <x:c r="J2" s="12"/>
      <x:c r="K2" s="12"/>
      <x:c r="L2" s="12"/>
      <x:c r="M2" s="12"/>
      <x:c r="N2" s="12"/>
      <x:c r="O2" s="12"/>
      <x:c r="P2" s="12"/>
      <x:c r="Q2" s="12"/>
    </x:row>
    <x:row r="3">
      <x:c r="A3" s="30" t="str">
        <x:v>Model</x:v>
      </x:c>
      <x:c r="B3" s="19" t="str">
        <x:v>Claude Sonnet 4.6</x:v>
      </x:c>
      <x:c r="C3" s="34" t="str">
        <x:v>Prompt version</x:v>
      </x:c>
      <x:c r="D3" s="20" t="str">
        <x:v>controlled_v2</x:v>
      </x:c>
    </x:row>
    <x:row r="4">
      <x:c r="A4" s="31" t="str">
        <x:v>Languages</x:v>
      </x:c>
      <x:c r="B4" s="22" t="str">
        <x:v>Arabic and Spanish</x:v>
      </x:c>
      <x:c r="C4" s="35" t="str">
        <x:v>Scoring scale</x:v>
      </x:c>
      <x:c r="D4" s="23" t="str">
        <x:v>0 = incorrect, 1 = partial, 2 = fully correct</x:v>
      </x:c>
    </x:row>
    <x:row r="6" ht="34" customHeight="1">
      <x:c r="A6" s="42" t="str">
        <x:v>example_number</x:v>
      </x:c>
      <x:c r="B6" s="42" t="str">
        <x:v>xrag_id</x:v>
      </x:c>
      <x:c r="C6" s="42" t="str">
        <x:v>language</x:v>
      </x:c>
      <x:c r="D6" s="42" t="str">
        <x:v>task</x:v>
      </x:c>
      <x:c r="E6" s="42" t="str">
        <x:v>question_type</x:v>
      </x:c>
      <x:c r="F6" s="42" t="str">
        <x:v>crossdoc_type</x:v>
      </x:c>
      <x:c r="G6" s="42" t="str">
        <x:v>condition</x:v>
      </x:c>
      <x:c r="H6" s="42" t="str">
        <x:v>question</x:v>
      </x:c>
      <x:c r="I6" s="42" t="str">
        <x:v>gold_answer</x:v>
      </x:c>
      <x:c r="J6" s="42" t="str">
        <x:v>model_answer</x:v>
      </x:c>
      <x:c r="K6" s="42" t="str">
        <x:v>correctness_score</x:v>
      </x:c>
      <x:c r="L6" s="42" t="str">
        <x:v>refusal</x:v>
      </x:c>
      <x:c r="M6" s="42" t="str">
        <x:v>correct_language</x:v>
      </x:c>
      <x:c r="N6" s="42" t="str">
        <x:v>unsupported_information</x:v>
      </x:c>
      <x:c r="O6" s="42" t="str">
        <x:v>review_notes</x:v>
      </x:c>
      <x:c r="P6" s="42" t="str">
        <x:v>input_tokens</x:v>
      </x:c>
      <x:c r="Q6" s="42" t="str">
        <x:v>output_tokens</x:v>
      </x:c>
    </x:row>
    <x:row r="7">
      <x:c r="A7" s="52" t="n">
        <x:v>1</x:v>
      </x:c>
      <x:c r="B7" s="52" t="n">
        <x:v>114</x:v>
      </x:c>
      <x:c r="C7" s="52" t="str">
        <x:v>es</x:v>
      </x:c>
      <x:c r="D7" s="52" t="str">
        <x:v>mono_retrieval</x:v>
      </x:c>
      <x:c r="E7" s="52" t="str">
        <x:v>multihop</x:v>
      </x:c>
      <x:c r="F7" s="52" t="n">
        <x:v>1</x:v>
      </x:c>
      <x:c r="G7" s="52" t="str">
        <x:v>no_documents</x:v>
      </x:c>
      <x:c r="H7" s="50" t="str">
        <x:v>¿Qué objetivos militares puede atacar ahora Ucrania en Rusia a pesar de las restricciones estadounidenses sobre los ATACMS?</x:v>
      </x:c>
      <x:c r="I7" s="50" t="str">
        <x:v>Ucrania puede ahora atacar las defensas aéreas y los sistemas de misiles rusos dentro de Rusia, a pesar de las restricciones estadounidenses al uso de ATACMS.</x:v>
      </x:c>
      <x:c r="J7" s="50" t="str">
        <x:v>Ucrania puede atacar objetivos militares en territorio ruso cerca de la frontera con Járkov, incluyendo posiciones de artillería, depósitos de municiones y concentraciones de tropas que amenacen directamente a esa región.</x:v>
      </x:c>
      <x:c r="K7" s="54" t="n">
        <x:v>0</x:v>
      </x:c>
      <x:c r="L7" s="54" t="str">
        <x:v>no</x:v>
      </x:c>
      <x:c r="M7" s="54" t="str">
        <x:v>yes</x:v>
      </x:c>
      <x:c r="N7" s="54" t="str">
        <x:v>yes</x:v>
      </x:c>
      <x:c r="O7" s="50" t="str">
        <x:v>Answered with different border-area targets and missed the gold targets of air defenses and missile systems.</x:v>
      </x:c>
      <x:c r="P7" s="48" t="n">
        <x:v>189</x:v>
      </x:c>
      <x:c r="Q7" s="48" t="n">
        <x:v>62</x:v>
      </x:c>
    </x:row>
    <x:row r="8">
      <x:c r="A8" s="52" t="n">
        <x:v>1</x:v>
      </x:c>
      <x:c r="B8" s="52" t="n">
        <x:v>114</x:v>
      </x:c>
      <x:c r="C8" s="52" t="str">
        <x:v>es</x:v>
      </x:c>
      <x:c r="D8" s="52" t="str">
        <x:v>mono_retrieval</x:v>
      </x:c>
      <x:c r="E8" s="52" t="str">
        <x:v>multihop</x:v>
      </x:c>
      <x:c r="F8" s="52" t="n">
        <x:v>1</x:v>
      </x:c>
      <x:c r="G8" s="52" t="str">
        <x:v>support_only</x:v>
      </x:c>
      <x:c r="H8" s="50" t="str">
        <x:v>¿Qué objetivos militares puede atacar ahora Ucrania en Rusia a pesar de las restricciones estadounidenses sobre los ATACMS?</x:v>
      </x:c>
      <x:c r="I8" s="50" t="str">
        <x:v>Ucrania puede ahora atacar las defensas aéreas y los sistemas de misiles rusos dentro de Rusia, a pesar de las restricciones estadounidenses al uso de ATACMS.</x:v>
      </x:c>
      <x:c r="J8" s="50" t="str">
        <x:v>Ucrania puede atacar defensas aéreas rusas, aeronaves y sistemas de armas en territorio ruso, aunque no puede usar ATACMS para golpear objetivos en profundidad dentro de Rusia.</x:v>
      </x:c>
      <x:c r="K8" s="54" t="n">
        <x:v>1</x:v>
      </x:c>
      <x:c r="L8" s="54" t="str">
        <x:v>no</x:v>
      </x:c>
      <x:c r="M8" s="54" t="str">
        <x:v>yes</x:v>
      </x:c>
      <x:c r="N8" s="54" t="str">
        <x:v>no</x:v>
      </x:c>
      <x:c r="O8" s="50" t="str">
        <x:v>Correctly identified Russian air defenses but did not clearly identify missile systems and added broader weapon targets.</x:v>
      </x:c>
      <x:c r="P8" s="48" t="n">
        <x:v>3733</x:v>
      </x:c>
      <x:c r="Q8" s="48" t="n">
        <x:v>54</x:v>
      </x:c>
    </x:row>
    <x:row r="9">
      <x:c r="A9" s="52" t="n">
        <x:v>1</x:v>
      </x:c>
      <x:c r="B9" s="52" t="n">
        <x:v>114</x:v>
      </x:c>
      <x:c r="C9" s="52" t="str">
        <x:v>es</x:v>
      </x:c>
      <x:c r="D9" s="52" t="str">
        <x:v>mono_retrieval</x:v>
      </x:c>
      <x:c r="E9" s="52" t="str">
        <x:v>multihop</x:v>
      </x:c>
      <x:c r="F9" s="52" t="n">
        <x:v>1</x:v>
      </x:c>
      <x:c r="G9" s="52" t="str">
        <x:v>all_documents</x:v>
      </x:c>
      <x:c r="H9" s="50" t="str">
        <x:v>¿Qué objetivos militares puede atacar ahora Ucrania en Rusia a pesar de las restricciones estadounidenses sobre los ATACMS?</x:v>
      </x:c>
      <x:c r="I9" s="50" t="str">
        <x:v>Ucrania puede ahora atacar las defensas aéreas y los sistemas de misiles rusos dentro de Rusia, a pesar de las restricciones estadounidenses al uso de ATACMS.</x:v>
      </x:c>
      <x:c r="J9" s="50" t="str">
        <x:v>Ucrania puede atacar puestos de mando, depósitos de municiones, centros logísticos y unidades de misiles en territorio ruso usando sistemas HIMARS de corto alcance, aunque los ATACMS siguen restringidos a la región de Kursk.</x:v>
      </x:c>
      <x:c r="K9" s="54" t="n">
        <x:v>1</x:v>
      </x:c>
      <x:c r="L9" s="54" t="str">
        <x:v>no</x:v>
      </x:c>
      <x:c r="M9" s="54" t="str">
        <x:v>yes</x:v>
      </x:c>
      <x:c r="N9" s="54" t="str">
        <x:v>yes</x:v>
      </x:c>
      <x:c r="O9" s="50" t="str">
        <x:v>Mentioned missile units but omitted air defenses and was pulled toward extra Kursk/HIMARS details from distractor material.</x:v>
      </x:c>
      <x:c r="P9" s="48" t="n">
        <x:v>15033</x:v>
      </x:c>
      <x:c r="Q9" s="48" t="n">
        <x:v>68</x:v>
      </x:c>
    </x:row>
    <x:row r="10">
      <x:c r="A10" s="52" t="n">
        <x:v>2</x:v>
      </x:c>
      <x:c r="B10" s="52" t="n">
        <x:v>156</x:v>
      </x:c>
      <x:c r="C10" s="52" t="str">
        <x:v>ar</x:v>
      </x:c>
      <x:c r="D10" s="52" t="str">
        <x:v>multi_retrieval</x:v>
      </x:c>
      <x:c r="E10" s="52" t="str">
        <x:v>set</x:v>
      </x:c>
      <x:c r="F10" s="52" t="n">
        <x:v>2</x:v>
      </x:c>
      <x:c r="G10" s="52" t="str">
        <x:v>no_documents</x:v>
      </x:c>
      <x:c r="H10" s="50" t="str">
        <x:v>ما المجموعات المتورطة في الصراعات في ميانمار والسودان؟</x:v>
      </x:c>
      <x:c r="I10" s="50" t="str">
        <x:v>في ميانمار، تشمل الجماعات المشاركة في الصراعات جيش أراكان والمجلس العسكري، حيث يقع المدنيون من الروهينجا ضحايا للعنف. وفي السودان، يشمل الصراع القوات المسلحة السودانية وقوات الدعم السريع.</x:v>
      </x:c>
      <x:c r="J10" s="50" t="str">
        <x:v>في ميانمار، تشمل الأطراف المتصارعة الجيش العسكري وجماعات المقاومة المسلحة، بينما في السودان يتصارع الجيش السوداني وقوات الدعم السريع.</x:v>
      </x:c>
      <x:c r="K10" s="54" t="n">
        <x:v>1</x:v>
      </x:c>
      <x:c r="L10" s="54" t="str">
        <x:v>no</x:v>
      </x:c>
      <x:c r="M10" s="54" t="str">
        <x:v>yes</x:v>
      </x:c>
      <x:c r="N10" s="54" t="str">
        <x:v>no</x:v>
      </x:c>
      <x:c r="O10" s="50" t="str">
        <x:v>Identified Myanmar's military and resistance groups plus Sudan's army and Rapid Support Forces, but omitted the Arakan Army and Rohingya victims.</x:v>
      </x:c>
      <x:c r="P10" s="48" t="n">
        <x:v>180</x:v>
      </x:c>
      <x:c r="Q10" s="48" t="n">
        <x:v>81</x:v>
      </x:c>
    </x:row>
    <x:row r="11">
      <x:c r="A11" s="52" t="n">
        <x:v>2</x:v>
      </x:c>
      <x:c r="B11" s="52" t="n">
        <x:v>156</x:v>
      </x:c>
      <x:c r="C11" s="52" t="str">
        <x:v>ar</x:v>
      </x:c>
      <x:c r="D11" s="52" t="str">
        <x:v>multi_retrieval</x:v>
      </x:c>
      <x:c r="E11" s="52" t="str">
        <x:v>set</x:v>
      </x:c>
      <x:c r="F11" s="52" t="n">
        <x:v>2</x:v>
      </x:c>
      <x:c r="G11" s="52" t="str">
        <x:v>support_only</x:v>
      </x:c>
      <x:c r="H11" s="50" t="str">
        <x:v>ما المجموعات المتورطة في الصراعات في ميانمار والسودان؟</x:v>
      </x:c>
      <x:c r="I11" s="50" t="str">
        <x:v>في ميانمار، تشمل الجماعات المشاركة في الصراعات جيش أراكان والمجلس العسكري، حيث يقع المدنيون من الروهينجا ضحايا للعنف. وفي السودان، يشمل الصراع القوات المسلحة السودانية وقوات الدعم السريع.</x:v>
      </x:c>
      <x:c r="J11" s="50" t="str">
        <x:v>في ميانمار، تتورط جيش أراكان والمجلس العسكري وجماعات مسلحة إسلامية، بينما في السودان يتصارع الجيش السوداني وقوات الدعم السريع.</x:v>
      </x:c>
      <x:c r="K11" s="54" t="n">
        <x:v>2</x:v>
      </x:c>
      <x:c r="L11" s="54" t="str">
        <x:v>no</x:v>
      </x:c>
      <x:c r="M11" s="54" t="str">
        <x:v>yes</x:v>
      </x:c>
      <x:c r="N11" s="54" t="str">
        <x:v>yes</x:v>
      </x:c>
      <x:c r="O11" s="50" t="str">
        <x:v>Named the Arakan Army, military junta, Sudanese army, and Rapid Support Forces; added an extra armed-group detail.</x:v>
      </x:c>
      <x:c r="P11" s="48" t="n">
        <x:v>5194</x:v>
      </x:c>
      <x:c r="Q11" s="48" t="n">
        <x:v>78</x:v>
      </x:c>
    </x:row>
    <x:row r="12">
      <x:c r="A12" s="52" t="n">
        <x:v>2</x:v>
      </x:c>
      <x:c r="B12" s="52" t="n">
        <x:v>156</x:v>
      </x:c>
      <x:c r="C12" s="52" t="str">
        <x:v>ar</x:v>
      </x:c>
      <x:c r="D12" s="52" t="str">
        <x:v>multi_retrieval</x:v>
      </x:c>
      <x:c r="E12" s="52" t="str">
        <x:v>set</x:v>
      </x:c>
      <x:c r="F12" s="52" t="n">
        <x:v>2</x:v>
      </x:c>
      <x:c r="G12" s="52" t="str">
        <x:v>all_documents</x:v>
      </x:c>
      <x:c r="H12" s="50" t="str">
        <x:v>ما المجموعات المتورطة في الصراعات في ميانمار والسودان؟</x:v>
      </x:c>
      <x:c r="I12" s="50" t="str">
        <x:v>في ميانمار، تشمل الجماعات المشاركة في الصراعات جيش أراكان والمجلس العسكري، حيث يقع المدنيون من الروهينجا ضحايا للعنف. وفي السودان، يشمل الصراع القوات المسلحة السودانية وقوات الدعم السريع.</x:v>
      </x:c>
      <x:c r="J12" s="50" t="str">
        <x:v>استناداً إلى الوثائق، تتورط في ميانمار قوات المجلس العسكري وجيش أراكان والروهينغا، بينما يتصارع في السودان الجيش السوداني وقوات الدعم السريع.</x:v>
      </x:c>
      <x:c r="K12" s="54" t="n">
        <x:v>2</x:v>
      </x:c>
      <x:c r="L12" s="54" t="str">
        <x:v>no</x:v>
      </x:c>
      <x:c r="M12" s="54" t="str">
        <x:v>yes</x:v>
      </x:c>
      <x:c r="N12" s="54" t="str">
        <x:v>no</x:v>
      </x:c>
      <x:c r="O12" s="50" t="str">
        <x:v>Named the main Myanmar and Sudan groups and included the Rohingya, matching the essential gold information.</x:v>
      </x:c>
      <x:c r="P12" s="48" t="n">
        <x:v>15979</x:v>
      </x:c>
      <x:c r="Q12" s="48" t="n">
        <x:v>84</x:v>
      </x:c>
    </x:row>
    <x:row r="13">
      <x:c r="A13" s="52" t="n">
        <x:v>3</x:v>
      </x:c>
      <x:c r="B13" s="52" t="n">
        <x:v>1119</x:v>
      </x:c>
      <x:c r="C13" s="52" t="str">
        <x:v>ar</x:v>
      </x:c>
      <x:c r="D13" s="52" t="str">
        <x:v>mono_retrieval</x:v>
      </x:c>
      <x:c r="E13" s="52" t="str">
        <x:v>set</x:v>
      </x:c>
      <x:c r="F13" s="52" t="n">
        <x:v>1</x:v>
      </x:c>
      <x:c r="G13" s="52" t="str">
        <x:v>no_documents</x:v>
      </x:c>
      <x:c r="H13" s="50" t="str">
        <x:v>ما الخصائص المرتبطة بجينيفر لوبيز وبن أفليك في عام 2023؟</x:v>
      </x:c>
      <x:c r="I13" s="50" t="str">
        <x:v>في عام 2023، ارتبطت جينيفر لوبيز وبن أفليك بقصر في منطقة بيل إير بقيمة 60 مليون دولار. تقيم لوبيز في قصر بيل إير، بينما يعيش أفليك في منزل مستأجر بقيمة 100 ألف دولار شهريًا بالقرب من زوجته السابقة جينيفر جارنر.</x:v>
      </x:c>
      <x:c r="J13" s="50" t="str">
        <x:v>في عام 2023، كانت جينيفر لوبيز وبن أفليك متزوجَين، إذ أتمّا زواجهما في أغسطس 2022، وكانا يُعدّان من أبرز الأزواج المشهورين في هوليوود.</x:v>
      </x:c>
      <x:c r="K13" s="54" t="n">
        <x:v>0</x:v>
      </x:c>
      <x:c r="L13" s="54" t="str">
        <x:v>no</x:v>
      </x:c>
      <x:c r="M13" s="54" t="str">
        <x:v>yes</x:v>
      </x:c>
      <x:c r="N13" s="54" t="str">
        <x:v>yes</x:v>
      </x:c>
      <x:c r="O13" s="50" t="str">
        <x:v>Discussed the couple's marriage rather than the properties asked about.</x:v>
      </x:c>
      <x:c r="P13" s="48" t="n">
        <x:v>189</x:v>
      </x:c>
      <x:c r="Q13" s="48" t="n">
        <x:v>92</x:v>
      </x:c>
    </x:row>
    <x:row r="14">
      <x:c r="A14" s="52" t="n">
        <x:v>3</x:v>
      </x:c>
      <x:c r="B14" s="52" t="n">
        <x:v>1119</x:v>
      </x:c>
      <x:c r="C14" s="52" t="str">
        <x:v>ar</x:v>
      </x:c>
      <x:c r="D14" s="52" t="str">
        <x:v>mono_retrieval</x:v>
      </x:c>
      <x:c r="E14" s="52" t="str">
        <x:v>set</x:v>
      </x:c>
      <x:c r="F14" s="52" t="n">
        <x:v>1</x:v>
      </x:c>
      <x:c r="G14" s="52" t="str">
        <x:v>support_only</x:v>
      </x:c>
      <x:c r="H14" s="50" t="str">
        <x:v>ما الخصائص المرتبطة بجينيفر لوبيز وبن أفليك في عام 2023؟</x:v>
      </x:c>
      <x:c r="I14" s="50" t="str">
        <x:v>في عام 2023، ارتبطت جينيفر لوبيز وبن أفليك بقصر في منطقة بيل إير بقيمة 60 مليون دولار. تقيم لوبيز في قصر بيل إير، بينما يعيش أفليك في منزل مستأجر بقيمة 100 ألف دولار شهريًا بالقرب من زوجته السابقة جينيفر جارنر.</x:v>
      </x:c>
      <x:c r="J14" s="50" t="str">
        <x:v>في صيف عام 2023، اشترى جينيفر لوبيز وبن أفليك قصرًا في بيل إير بكاليفورنيا مساحته 46,000 قدم مربع بسعر 60.85 مليون دولار، يضم 12 غرفة نوم و24 حمامًا.</x:v>
      </x:c>
      <x:c r="K14" s="54" t="n">
        <x:v>1</x:v>
      </x:c>
      <x:c r="L14" s="54" t="str">
        <x:v>no</x:v>
      </x:c>
      <x:c r="M14" s="54" t="str">
        <x:v>yes</x:v>
      </x:c>
      <x:c r="N14" s="54" t="str">
        <x:v>no</x:v>
      </x:c>
      <x:c r="O14" s="50" t="str">
        <x:v>Correctly identified the approximately $60 million Bel-Air mansion but omitted Affleck's rental and the separate living arrangements.</x:v>
      </x:c>
      <x:c r="P14" s="48" t="n">
        <x:v>3940</x:v>
      </x:c>
      <x:c r="Q14" s="48" t="n">
        <x:v>107</x:v>
      </x:c>
    </x:row>
    <x:row r="15">
      <x:c r="A15" s="52" t="n">
        <x:v>3</x:v>
      </x:c>
      <x:c r="B15" s="52" t="n">
        <x:v>1119</x:v>
      </x:c>
      <x:c r="C15" s="52" t="str">
        <x:v>ar</x:v>
      </x:c>
      <x:c r="D15" s="52" t="str">
        <x:v>mono_retrieval</x:v>
      </x:c>
      <x:c r="E15" s="52" t="str">
        <x:v>set</x:v>
      </x:c>
      <x:c r="F15" s="52" t="n">
        <x:v>1</x:v>
      </x:c>
      <x:c r="G15" s="52" t="str">
        <x:v>all_documents</x:v>
      </x:c>
      <x:c r="H15" s="50" t="str">
        <x:v>ما الخصائص المرتبطة بجينيفر لوبيز وبن أفليك في عام 2023؟</x:v>
      </x:c>
      <x:c r="I15" s="50" t="str">
        <x:v>في عام 2023، ارتبطت جينيفر لوبيز وبن أفليك بقصر في منطقة بيل إير بقيمة 60 مليون دولار. تقيم لوبيز في قصر بيل إير، بينما يعيش أفليك في منزل مستأجر بقيمة 100 ألف دولار شهريًا بالقرب من زوجته السابقة جينيفر جارنر.</x:v>
      </x:c>
      <x:c r="J15" s="50" t="str">
        <x:v>استناداً إلى التقارير، امتلك الزوجان قصراً بقيمة 60 مليون دولار في بيل إير بكاليفورنيا، وظهرا معاً في حفل Grammy Awards عام 2023 وسط توترات واضحة، كما عملا معاً في فيلم "Unstoppable".</x:v>
      </x:c>
      <x:c r="K15" s="54" t="n">
        <x:v>1</x:v>
      </x:c>
      <x:c r="L15" s="54" t="str">
        <x:v>no</x:v>
      </x:c>
      <x:c r="M15" s="54" t="str">
        <x:v>yes</x:v>
      </x:c>
      <x:c r="N15" s="54" t="str">
        <x:v>yes</x:v>
      </x:c>
      <x:c r="O15" s="50" t="str">
        <x:v>Included the mansion but omitted Affleck's rental and added unrelated Grammy and film details.</x:v>
      </x:c>
      <x:c r="P15" s="48" t="n">
        <x:v>17171</x:v>
      </x:c>
      <x:c r="Q15" s="48" t="n">
        <x:v>108</x:v>
      </x:c>
    </x:row>
    <x:row r="16">
      <x:c r="A16" s="52" t="n">
        <x:v>4</x:v>
      </x:c>
      <x:c r="B16" s="52" t="n">
        <x:v>1037</x:v>
      </x:c>
      <x:c r="C16" s="52" t="str">
        <x:v>es</x:v>
      </x:c>
      <x:c r="D16" s="52" t="str">
        <x:v>mono_retrieval</x:v>
      </x:c>
      <x:c r="E16" s="52" t="str">
        <x:v>aggregation</x:v>
      </x:c>
      <x:c r="F16" s="52" t="n">
        <x:v>0</x:v>
      </x:c>
      <x:c r="G16" s="52" t="str">
        <x:v>no_documents</x:v>
      </x:c>
      <x:c r="H16" s="50" t="str">
        <x:v>¿A cuántos grupos arma Irán a pesar de su afiliación sunita?</x:v>
      </x:c>
      <x:c r="I16" s="50" t="str">
        <x:v>Irán arma a dos grupos a pesar de su afiliación sunita: Hamás y la Yihad Islámica.</x:v>
      </x:c>
      <x:c r="J16" s="50" t="str">
        <x:v>Irán arma a grupos suníes como Hamas, la Jihad Islámica Palestina y algunos grupos afganos y pakistaníes, apoyando al menos a cuatro o cinco organizaciones a pesar de las diferencias sectarias.</x:v>
      </x:c>
      <x:c r="K16" s="54" t="n">
        <x:v>0</x:v>
      </x:c>
      <x:c r="L16" s="54" t="str">
        <x:v>no</x:v>
      </x:c>
      <x:c r="M16" s="54" t="str">
        <x:v>yes</x:v>
      </x:c>
      <x:c r="N16" s="54" t="str">
        <x:v>yes</x:v>
      </x:c>
      <x:c r="O16" s="50" t="str">
        <x:v>Gave the wrong count and added extra groups not in the gold answer.</x:v>
      </x:c>
      <x:c r="P16" s="48" t="n">
        <x:v>173</x:v>
      </x:c>
      <x:c r="Q16" s="48" t="n">
        <x:v>60</x:v>
      </x:c>
    </x:row>
    <x:row r="17">
      <x:c r="A17" s="52" t="n">
        <x:v>4</x:v>
      </x:c>
      <x:c r="B17" s="52" t="n">
        <x:v>1037</x:v>
      </x:c>
      <x:c r="C17" s="52" t="str">
        <x:v>es</x:v>
      </x:c>
      <x:c r="D17" s="52" t="str">
        <x:v>mono_retrieval</x:v>
      </x:c>
      <x:c r="E17" s="52" t="str">
        <x:v>aggregation</x:v>
      </x:c>
      <x:c r="F17" s="52" t="n">
        <x:v>0</x:v>
      </x:c>
      <x:c r="G17" s="52" t="str">
        <x:v>support_only</x:v>
      </x:c>
      <x:c r="H17" s="50" t="str">
        <x:v>¿A cuántos grupos arma Irán a pesar de su afiliación sunita?</x:v>
      </x:c>
      <x:c r="I17" s="50" t="str">
        <x:v>Irán arma a dos grupos a pesar de su afiliación sunita: Hamás y la Yihad Islámica.</x:v>
      </x:c>
      <x:c r="J17" s="50" t="str">
        <x:v>Irán arma a dos grupos sunitas: Hamas y la Yihad Islámica Palestina, a pesar de que Irán se considera defensor del islam chiita.</x:v>
      </x:c>
      <x:c r="K17" s="54" t="n">
        <x:v>2</x:v>
      </x:c>
      <x:c r="L17" s="54" t="str">
        <x:v>no</x:v>
      </x:c>
      <x:c r="M17" s="54" t="str">
        <x:v>yes</x:v>
      </x:c>
      <x:c r="N17" s="54" t="str">
        <x:v>no</x:v>
      </x:c>
      <x:c r="O17" s="50" t="str">
        <x:v>Correctly answered two groups: Hamas and Palestinian Islamic Jihad.</x:v>
      </x:c>
      <x:c r="P17" s="48" t="n">
        <x:v>1908</x:v>
      </x:c>
      <x:c r="Q17" s="48" t="n">
        <x:v>46</x:v>
      </x:c>
    </x:row>
    <x:row r="18">
      <x:c r="A18" s="52" t="n">
        <x:v>4</x:v>
      </x:c>
      <x:c r="B18" s="52" t="n">
        <x:v>1037</x:v>
      </x:c>
      <x:c r="C18" s="52" t="str">
        <x:v>es</x:v>
      </x:c>
      <x:c r="D18" s="52" t="str">
        <x:v>mono_retrieval</x:v>
      </x:c>
      <x:c r="E18" s="52" t="str">
        <x:v>aggregation</x:v>
      </x:c>
      <x:c r="F18" s="52" t="n">
        <x:v>0</x:v>
      </x:c>
      <x:c r="G18" s="52" t="str">
        <x:v>all_documents</x:v>
      </x:c>
      <x:c r="H18" s="50" t="str">
        <x:v>¿A cuántos grupos arma Irán a pesar de su afiliación sunita?</x:v>
      </x:c>
      <x:c r="I18" s="50" t="str">
        <x:v>Irán arma a dos grupos a pesar de su afiliación sunita: Hamás y la Yihad Islámica.</x:v>
      </x:c>
      <x:c r="J18" s="50" t="str">
        <x:v>Irán arma a dos grupos sunitas, Hamas y la Yihad Islámica Palestina, a pesar de ser una república islámica chiita.</x:v>
      </x:c>
      <x:c r="K18" s="54" t="n">
        <x:v>2</x:v>
      </x:c>
      <x:c r="L18" s="54" t="str">
        <x:v>no</x:v>
      </x:c>
      <x:c r="M18" s="54" t="str">
        <x:v>yes</x:v>
      </x:c>
      <x:c r="N18" s="54" t="str">
        <x:v>no</x:v>
      </x:c>
      <x:c r="O18" s="50" t="str">
        <x:v>Correctly answered two groups: Hamas and Palestinian Islamic Jihad.</x:v>
      </x:c>
      <x:c r="P18" s="48" t="n">
        <x:v>14447</x:v>
      </x:c>
      <x:c r="Q18" s="48" t="n">
        <x:v>42</x:v>
      </x:c>
    </x:row>
    <x:row r="19">
      <x:c r="A19" s="52" t="n">
        <x:v>5</x:v>
      </x:c>
      <x:c r="B19" s="52" t="n">
        <x:v>1410</x:v>
      </x:c>
      <x:c r="C19" s="52" t="str">
        <x:v>es</x:v>
      </x:c>
      <x:c r="D19" s="52" t="str">
        <x:v>mono_retrieval</x:v>
      </x:c>
      <x:c r="E19" s="52" t="str">
        <x:v>aggregation</x:v>
      </x:c>
      <x:c r="F19" s="52" t="n">
        <x:v>0</x:v>
      </x:c>
      <x:c r="G19" s="52" t="str">
        <x:v>no_documents</x:v>
      </x:c>
      <x:c r="H19" s="50" t="str">
        <x:v>¿Cuáles son algunos de los problemas que se informaron durante las elecciones con respecto a la votación?</x:v>
      </x:c>
      <x:c r="I19" s="50" t="str">
        <x:v>Se informaron problemas con los requisitos de identificación de los votantes y errores en la votación por correo.</x:v>
      </x:c>
      <x:c r="J19" s="50" t="str">
        <x:v>Durante las elecciones se informaron problemas como largas filas, máquinas de votación defectuosas, supresión de votantes, dificultades con el registro, falta de personal en los centros de votación y controversias sobre votos por correo.</x:v>
      </x:c>
      <x:c r="K19" s="54" t="n">
        <x:v>1</x:v>
      </x:c>
      <x:c r="L19" s="54" t="str">
        <x:v>no</x:v>
      </x:c>
      <x:c r="M19" s="54" t="str">
        <x:v>yes</x:v>
      </x:c>
      <x:c r="N19" s="54" t="str">
        <x:v>yes</x:v>
      </x:c>
      <x:c r="O19" s="50" t="str">
        <x:v>Mentioned generic voting problems and mail voting, but did not identify voter-ID requirements and added unrelated issues.</x:v>
      </x:c>
      <x:c r="P19" s="48" t="n">
        <x:v>179</x:v>
      </x:c>
      <x:c r="Q19" s="48" t="n">
        <x:v>66</x:v>
      </x:c>
    </x:row>
    <x:row r="20">
      <x:c r="A20" s="52" t="n">
        <x:v>5</x:v>
      </x:c>
      <x:c r="B20" s="52" t="n">
        <x:v>1410</x:v>
      </x:c>
      <x:c r="C20" s="52" t="str">
        <x:v>es</x:v>
      </x:c>
      <x:c r="D20" s="52" t="str">
        <x:v>mono_retrieval</x:v>
      </x:c>
      <x:c r="E20" s="52" t="str">
        <x:v>aggregation</x:v>
      </x:c>
      <x:c r="F20" s="52" t="n">
        <x:v>0</x:v>
      </x:c>
      <x:c r="G20" s="52" t="str">
        <x:v>support_only</x:v>
      </x:c>
      <x:c r="H20" s="50" t="str">
        <x:v>¿Cuáles son algunos de los problemas que se informaron durante las elecciones con respecto a la votación?</x:v>
      </x:c>
      <x:c r="I20" s="50" t="str">
        <x:v>Se informaron problemas con los requisitos de identificación de los votantes y errores en la votación por correo.</x:v>
      </x:c>
      <x:c r="J20" s="50" t="str">
        <x:v>Se reportaron problemas en Glasgow donde se colocaron instrucciones incorrectas en un colegio electoral, y en Essex, 2,600 personas no recibieron sus papeletas postales por un error del consejo de Uttlesford.</x:v>
      </x:c>
      <x:c r="K20" s="54" t="n">
        <x:v>1</x:v>
      </x:c>
      <x:c r="L20" s="54" t="str">
        <x:v>no</x:v>
      </x:c>
      <x:c r="M20" s="54" t="str">
        <x:v>yes</x:v>
      </x:c>
      <x:c r="N20" s="54" t="str">
        <x:v>no</x:v>
      </x:c>
      <x:c r="O20" s="50" t="str">
        <x:v>Captured a postal-voting failure but did not identify the voter-ID requirement issue in the gold answer.</x:v>
      </x:c>
      <x:c r="P20" s="48" t="n">
        <x:v>3062</x:v>
      </x:c>
      <x:c r="Q20" s="48" t="n">
        <x:v>60</x:v>
      </x:c>
    </x:row>
    <x:row r="21">
      <x:c r="A21" s="52" t="n">
        <x:v>5</x:v>
      </x:c>
      <x:c r="B21" s="52" t="n">
        <x:v>1410</x:v>
      </x:c>
      <x:c r="C21" s="52" t="str">
        <x:v>es</x:v>
      </x:c>
      <x:c r="D21" s="52" t="str">
        <x:v>mono_retrieval</x:v>
      </x:c>
      <x:c r="E21" s="52" t="str">
        <x:v>aggregation</x:v>
      </x:c>
      <x:c r="F21" s="52" t="n">
        <x:v>0</x:v>
      </x:c>
      <x:c r="G21" s="52" t="str">
        <x:v>all_documents</x:v>
      </x:c>
      <x:c r="H21" s="50" t="str">
        <x:v>¿Cuáles son algunos de los problemas que se informaron durante las elecciones con respecto a la votación?</x:v>
      </x:c>
      <x:c r="I21" s="50" t="str">
        <x:v>Se informaron problemas con los requisitos de identificación de los votantes y errores en la votación por correo.</x:v>
      </x:c>
      <x:c r="J21" s="50" t="str">
        <x:v>Los problemas reportados incluyeron fallos en máquinas de escaneo de boletas en Pensilvania, amenazas de bomba no creíbles en Georgia, errores de impresión de boletas, problemas con libros electorales electrónicos y cortes de energía en Missouri.</x:v>
      </x:c>
      <x:c r="K21" s="54" t="n">
        <x:v>0</x:v>
      </x:c>
      <x:c r="L21" s="54" t="str">
        <x:v>no</x:v>
      </x:c>
      <x:c r="M21" s="54" t="str">
        <x:v>yes</x:v>
      </x:c>
      <x:c r="N21" s="54" t="str">
        <x:v>yes</x:v>
      </x:c>
      <x:c r="O21" s="50" t="str">
        <x:v>Answered with unrelated U.S. election disruptions instead of voter-ID and postal-voting problems from the target example.</x:v>
      </x:c>
      <x:c r="P21" s="48" t="n">
        <x:v>14834</x:v>
      </x:c>
      <x:c r="Q21" s="48" t="n">
        <x:v>74</x:v>
      </x:c>
    </x:row>
    <x:row r="22">
      <x:c r="A22" s="52" t="n">
        <x:v>6</x:v>
      </x:c>
      <x:c r="B22" s="52" t="n">
        <x:v>162</x:v>
      </x:c>
      <x:c r="C22" s="52" t="str">
        <x:v>es</x:v>
      </x:c>
      <x:c r="D22" s="52" t="str">
        <x:v>multi_retrieval</x:v>
      </x:c>
      <x:c r="E22" s="52" t="str">
        <x:v>aggregation</x:v>
      </x:c>
      <x:c r="F22" s="52" t="n">
        <x:v>0</x:v>
      </x:c>
      <x:c r="G22" s="52" t="str">
        <x:v>no_documents</x:v>
      </x:c>
      <x:c r="H22" s="50" t="str">
        <x:v>¿Cuántos incidentes aumentaron las tensiones en la península de Corea el 10 de mayo de 2023?</x:v>
      </x:c>
      <x:c r="I22" s="50" t="str">
        <x:v>Dos incidentes aumentaron las tensiones en la península de Corea el 10 de mayo de 2023: el lanzamiento de panfletos anti-Corea del Norte por parte de grupos de desertores de Corea del Sur y la represalia de Corea del Norte con globos llenos de basura.</x:v>
      </x:c>
      <x:c r="J22" s="50" t="str">
        <x:v>Tres incidentes aumentaron las tensiones en la península de Corea el 10 de mayo de 2023.</x:v>
      </x:c>
      <x:c r="K22" s="54" t="n">
        <x:v>0</x:v>
      </x:c>
      <x:c r="L22" s="54" t="str">
        <x:v>no</x:v>
      </x:c>
      <x:c r="M22" s="54" t="str">
        <x:v>yes</x:v>
      </x:c>
      <x:c r="N22" s="54" t="str">
        <x:v>yes</x:v>
      </x:c>
      <x:c r="O22" s="50" t="str">
        <x:v>Gave the wrong number of incidents and no supporting details.</x:v>
      </x:c>
      <x:c r="P22" s="48" t="n">
        <x:v>182</x:v>
      </x:c>
      <x:c r="Q22" s="48" t="n">
        <x:v>31</x:v>
      </x:c>
    </x:row>
    <x:row r="23">
      <x:c r="A23" s="52" t="n">
        <x:v>6</x:v>
      </x:c>
      <x:c r="B23" s="52" t="n">
        <x:v>162</x:v>
      </x:c>
      <x:c r="C23" s="52" t="str">
        <x:v>es</x:v>
      </x:c>
      <x:c r="D23" s="52" t="str">
        <x:v>multi_retrieval</x:v>
      </x:c>
      <x:c r="E23" s="52" t="str">
        <x:v>aggregation</x:v>
      </x:c>
      <x:c r="F23" s="52" t="n">
        <x:v>0</x:v>
      </x:c>
      <x:c r="G23" s="52" t="str">
        <x:v>support_only</x:v>
      </x:c>
      <x:c r="H23" s="50" t="str">
        <x:v>¿Cuántos incidentes aumentaron las tensiones en la península de Corea el 10 de mayo de 2023?</x:v>
      </x:c>
      <x:c r="I23" s="50" t="str">
        <x:v>Dos incidentes aumentaron las tensiones en la península de Corea el 10 de mayo de 2023: el lanzamiento de panfletos anti-Corea del Norte por parte de grupos de desertores de Corea del Sur y la represalia de Corea del Norte con globos llenos de basura.</x:v>
      </x:c>
      <x:c r="J23" s="50" t="str">
        <x:v>El artículo menciona que las tensiones comenzaron el 10 de mayo de 2024 (no 2023) cuando grupos de desertores norcoreanos enviaron globos con panfletos anti-Corea del Norte desde el Sur hacia el Norte.</x:v>
      </x:c>
      <x:c r="K23" s="54" t="n">
        <x:v>0</x:v>
      </x:c>
      <x:c r="L23" s="54" t="str">
        <x:v>no</x:v>
      </x:c>
      <x:c r="M23" s="54" t="str">
        <x:v>yes</x:v>
      </x:c>
      <x:c r="N23" s="54" t="str">
        <x:v>no</x:v>
      </x:c>
      <x:c r="O23" s="50" t="str">
        <x:v>Focused on correcting the year and described only one event, without answering the requested count or the retaliation incident.</x:v>
      </x:c>
      <x:c r="P23" s="48" t="n">
        <x:v>1629</x:v>
      </x:c>
      <x:c r="Q23" s="48" t="n">
        <x:v>64</x:v>
      </x:c>
    </x:row>
    <x:row r="24">
      <x:c r="A24" s="52" t="n">
        <x:v>6</x:v>
      </x:c>
      <x:c r="B24" s="52" t="n">
        <x:v>162</x:v>
      </x:c>
      <x:c r="C24" s="52" t="str">
        <x:v>es</x:v>
      </x:c>
      <x:c r="D24" s="52" t="str">
        <x:v>multi_retrieval</x:v>
      </x:c>
      <x:c r="E24" s="52" t="str">
        <x:v>aggregation</x:v>
      </x:c>
      <x:c r="F24" s="52" t="n">
        <x:v>0</x:v>
      </x:c>
      <x:c r="G24" s="52" t="str">
        <x:v>all_documents</x:v>
      </x:c>
      <x:c r="H24" s="50" t="str">
        <x:v>¿Cuántos incidentes aumentaron las tensiones en la península de Corea el 10 de mayo de 2023?</x:v>
      </x:c>
      <x:c r="I24" s="50" t="str">
        <x:v>Dos incidentes aumentaron las tensiones en la península de Corea el 10 de mayo de 2023: el lanzamiento de panfletos anti-Corea del Norte por parte de grupos de desertores de Corea del Sur y la represalia de Corea del Norte con globos llenos de basura.</x:v>
      </x:c>
      <x:c r="J24" s="50" t="str">
        <x:v>Según el documento 3, el 10 de mayo de 2024 grupos de desertores norcoreanos enviaron globos con panfletos anti-Corea del Norte desde el Sur hacia el Norte, iniciando una escalada de tensiones.</x:v>
      </x:c>
      <x:c r="K24" s="54" t="n">
        <x:v>0</x:v>
      </x:c>
      <x:c r="L24" s="54" t="str">
        <x:v>no</x:v>
      </x:c>
      <x:c r="M24" s="54" t="str">
        <x:v>yes</x:v>
      </x:c>
      <x:c r="N24" s="54" t="str">
        <x:v>no</x:v>
      </x:c>
      <x:c r="O24" s="50" t="str">
        <x:v>Described one leaflet-balloon event and did not answer the requested count of two incidents.</x:v>
      </x:c>
      <x:c r="P24" s="48" t="n">
        <x:v>12770</x:v>
      </x:c>
      <x:c r="Q24" s="48" t="n">
        <x:v>61</x:v>
      </x:c>
    </x:row>
    <x:row r="25">
      <x:c r="A25" s="52" t="n">
        <x:v>7</x:v>
      </x:c>
      <x:c r="B25" s="52" t="n">
        <x:v>311</x:v>
      </x:c>
      <x:c r="C25" s="52" t="str">
        <x:v>ar</x:v>
      </x:c>
      <x:c r="D25" s="52" t="str">
        <x:v>mono_retrieval</x:v>
      </x:c>
      <x:c r="E25" s="52" t="str">
        <x:v>comparison</x:v>
      </x:c>
      <x:c r="F25" s="52" t="n">
        <x:v>0</x:v>
      </x:c>
      <x:c r="G25" s="52" t="str">
        <x:v>no_documents</x:v>
      </x:c>
      <x:c r="H25" s="50" t="str">
        <x:v>من أظهر دعما أكبر لكامالا هاريس، نشطاء حقوق الإجهاض أم الشخصيات السياسية مثل النائب جيمس كليبورن والسيناتور لافونزا بتلر؟</x:v>
      </x:c>
      <x:c r="I25" s="50" t="str">
        <x:v>أظهر نشطاء حقوق الإجهاض دعمًا أكبر لكامالا هاريس مقارنة بشخصيات سياسية مثل النائب جيمس كليبورن والسيناتور لافونزا بتلر.</x:v>
      </x:c>
      <x:c r="J25" s="50" t="str">
        <x:v>أظهر النائب جيمس كليبورن والسيناتور لافونزا بتلر دعماً أكبر لكامالا هاريس مقارنةً بنشطاء حقوق الإجهاض الذين أبدوا تحفظات أو انتظروا قبل إعلان دعمهم.</x:v>
      </x:c>
      <x:c r="K25" s="54" t="n">
        <x:v>0</x:v>
      </x:c>
      <x:c r="L25" s="54" t="str">
        <x:v>no</x:v>
      </x:c>
      <x:c r="M25" s="54" t="str">
        <x:v>yes</x:v>
      </x:c>
      <x:c r="N25" s="54" t="str">
        <x:v>yes</x:v>
      </x:c>
      <x:c r="O25" s="50" t="str">
        <x:v>Reversed the comparison and said the political figures showed more support.</x:v>
      </x:c>
      <x:c r="P25" s="48" t="n">
        <x:v>231</x:v>
      </x:c>
      <x:c r="Q25" s="48" t="n">
        <x:v>106</x:v>
      </x:c>
    </x:row>
    <x:row r="26">
      <x:c r="A26" s="52" t="n">
        <x:v>7</x:v>
      </x:c>
      <x:c r="B26" s="52" t="n">
        <x:v>311</x:v>
      </x:c>
      <x:c r="C26" s="52" t="str">
        <x:v>ar</x:v>
      </x:c>
      <x:c r="D26" s="52" t="str">
        <x:v>mono_retrieval</x:v>
      </x:c>
      <x:c r="E26" s="52" t="str">
        <x:v>comparison</x:v>
      </x:c>
      <x:c r="F26" s="52" t="n">
        <x:v>0</x:v>
      </x:c>
      <x:c r="G26" s="52" t="str">
        <x:v>support_only</x:v>
      </x:c>
      <x:c r="H26" s="50" t="str">
        <x:v>من أظهر دعما أكبر لكامالا هاريس، نشطاء حقوق الإجهاض أم الشخصيات السياسية مثل النائب جيمس كليبورن والسيناتور لافونزا بتلر؟</x:v>
      </x:c>
      <x:c r="I26" s="50" t="str">
        <x:v>أظهر نشطاء حقوق الإجهاض دعمًا أكبر لكامالا هاريس مقارنة بشخصيات سياسية مثل النائب جيمس كليبورن والسيناتور لافونزا بتلر.</x:v>
      </x:c>
      <x:c r="J26" s="50" t="str">
        <x:v>أظهر كلٌّ من نشطاء حقوق الإجهاض والشخصيات السياسية كالنائب جيمس كليبورن والسيناتور لافونزا بتلر دعمهم لهاريس، إذ اقترح السياسيون ترشيحها بدلاً من بايدن، بينما دعمها الناشطون في قضية الإجهاض.</x:v>
      </x:c>
      <x:c r="K26" s="54" t="n">
        <x:v>1</x:v>
      </x:c>
      <x:c r="L26" s="54" t="str">
        <x:v>no</x:v>
      </x:c>
      <x:c r="M26" s="54" t="str">
        <x:v>yes</x:v>
      </x:c>
      <x:c r="N26" s="54" t="str">
        <x:v>no</x:v>
      </x:c>
      <x:c r="O26" s="50" t="str">
        <x:v>Recognized support from both groups but did not determine that abortion-rights activists showed more support.</x:v>
      </x:c>
      <x:c r="P26" s="48" t="n">
        <x:v>1860</x:v>
      </x:c>
      <x:c r="Q26" s="48" t="n">
        <x:v>131</x:v>
      </x:c>
    </x:row>
    <x:row r="27">
      <x:c r="A27" s="52" t="n">
        <x:v>7</x:v>
      </x:c>
      <x:c r="B27" s="52" t="n">
        <x:v>311</x:v>
      </x:c>
      <x:c r="C27" s="52" t="str">
        <x:v>ar</x:v>
      </x:c>
      <x:c r="D27" s="52" t="str">
        <x:v>mono_retrieval</x:v>
      </x:c>
      <x:c r="E27" s="52" t="str">
        <x:v>comparison</x:v>
      </x:c>
      <x:c r="F27" s="52" t="n">
        <x:v>0</x:v>
      </x:c>
      <x:c r="G27" s="52" t="str">
        <x:v>all_documents</x:v>
      </x:c>
      <x:c r="H27" s="50" t="str">
        <x:v>من أظهر دعما أكبر لكامالا هاريس، نشطاء حقوق الإجهاض أم الشخصيات السياسية مثل النائب جيمس كليبورن والسيناتور لافونزا بتلر؟</x:v>
      </x:c>
      <x:c r="I27" s="50" t="str">
        <x:v>أظهر نشطاء حقوق الإجهاض دعمًا أكبر لكامالا هاريس مقارنة بشخصيات سياسية مثل النائب جيمس كليبورن والسيناتور لافونزا بتلر.</x:v>
      </x:c>
      <x:c r="J27" s="50" t="str">
        <x:v>وفقاً للوثائق، أبدى كلا الطرفين دعماً لهاريس، غير أن الشخصيات السياسية ككليبورن وبتلر كانت أكثر صراحةً في دعمها الرسمي لترشحها للرئاسة.</x:v>
      </x:c>
      <x:c r="K27" s="54" t="n">
        <x:v>0</x:v>
      </x:c>
      <x:c r="L27" s="54" t="str">
        <x:v>no</x:v>
      </x:c>
      <x:c r="M27" s="54" t="str">
        <x:v>yes</x:v>
      </x:c>
      <x:c r="N27" s="54" t="str">
        <x:v>yes</x:v>
      </x:c>
      <x:c r="O27" s="50" t="str">
        <x:v>Reversed the gold comparison by saying the political figures were more explicit supporters.</x:v>
      </x:c>
      <x:c r="P27" s="48" t="n">
        <x:v>24061</x:v>
      </x:c>
      <x:c r="Q27" s="48" t="n">
        <x:v>95</x:v>
      </x:c>
    </x:row>
    <x:row r="28">
      <x:c r="A28" s="52" t="n">
        <x:v>8</x:v>
      </x:c>
      <x:c r="B28" s="52" t="n">
        <x:v>76</x:v>
      </x:c>
      <x:c r="C28" s="52" t="str">
        <x:v>es</x:v>
      </x:c>
      <x:c r="D28" s="52" t="str">
        <x:v>mono_retrieval</x:v>
      </x:c>
      <x:c r="E28" s="52" t="str">
        <x:v>comparison</x:v>
      </x:c>
      <x:c r="F28" s="52" t="n">
        <x:v>0</x:v>
      </x:c>
      <x:c r="G28" s="52" t="str">
        <x:v>no_documents</x:v>
      </x:c>
      <x:c r="H28" s="50" t="str">
        <x:v>¿Qué equipo juega contra Croacia el 15 de junio, España o Inglaterra?</x:v>
      </x:c>
      <x:c r="I28" s="50" t="str">
        <x:v>España</x:v>
      </x:c>
      <x:c r="J28" s="50" t="str">
        <x:v>España juega contra Croacia el 15 de junio de 2024 en la Eurocopa, en el partido inaugural del Grupo B.</x:v>
      </x:c>
      <x:c r="K28" s="54" t="n">
        <x:v>2</x:v>
      </x:c>
      <x:c r="L28" s="54" t="str">
        <x:v>no</x:v>
      </x:c>
      <x:c r="M28" s="54" t="str">
        <x:v>yes</x:v>
      </x:c>
      <x:c r="N28" s="54" t="str">
        <x:v>no</x:v>
      </x:c>
      <x:c r="O28" s="50" t="str">
        <x:v>Correctly answered Spain.</x:v>
      </x:c>
      <x:c r="P28" s="48" t="n">
        <x:v>175</x:v>
      </x:c>
      <x:c r="Q28" s="48" t="n">
        <x:v>38</x:v>
      </x:c>
    </x:row>
    <x:row r="29">
      <x:c r="A29" s="52" t="n">
        <x:v>8</x:v>
      </x:c>
      <x:c r="B29" s="52" t="n">
        <x:v>76</x:v>
      </x:c>
      <x:c r="C29" s="52" t="str">
        <x:v>es</x:v>
      </x:c>
      <x:c r="D29" s="52" t="str">
        <x:v>mono_retrieval</x:v>
      </x:c>
      <x:c r="E29" s="52" t="str">
        <x:v>comparison</x:v>
      </x:c>
      <x:c r="F29" s="52" t="n">
        <x:v>0</x:v>
      </x:c>
      <x:c r="G29" s="52" t="str">
        <x:v>support_only</x:v>
      </x:c>
      <x:c r="H29" s="50" t="str">
        <x:v>¿Qué equipo juega contra Croacia el 15 de junio, España o Inglaterra?</x:v>
      </x:c>
      <x:c r="I29" s="50" t="str">
        <x:v>España</x:v>
      </x:c>
      <x:c r="J29" s="50" t="str">
        <x:v>España juega contra Croacia el 15 de junio a las 5pm en Berlín.</x:v>
      </x:c>
      <x:c r="K29" s="54" t="n">
        <x:v>2</x:v>
      </x:c>
      <x:c r="L29" s="54" t="str">
        <x:v>no</x:v>
      </x:c>
      <x:c r="M29" s="54" t="str">
        <x:v>yes</x:v>
      </x:c>
      <x:c r="N29" s="54" t="str">
        <x:v>no</x:v>
      </x:c>
      <x:c r="O29" s="50" t="str">
        <x:v>Correctly answered Spain.</x:v>
      </x:c>
      <x:c r="P29" s="48" t="n">
        <x:v>1738</x:v>
      </x:c>
      <x:c r="Q29" s="48" t="n">
        <x:v>27</x:v>
      </x:c>
    </x:row>
    <x:row r="30">
      <x:c r="A30" s="52" t="n">
        <x:v>8</x:v>
      </x:c>
      <x:c r="B30" s="52" t="n">
        <x:v>76</x:v>
      </x:c>
      <x:c r="C30" s="52" t="str">
        <x:v>es</x:v>
      </x:c>
      <x:c r="D30" s="52" t="str">
        <x:v>mono_retrieval</x:v>
      </x:c>
      <x:c r="E30" s="52" t="str">
        <x:v>comparison</x:v>
      </x:c>
      <x:c r="F30" s="52" t="n">
        <x:v>0</x:v>
      </x:c>
      <x:c r="G30" s="52" t="str">
        <x:v>all_documents</x:v>
      </x:c>
      <x:c r="H30" s="50" t="str">
        <x:v>¿Qué equipo juega contra Croacia el 15 de junio, España o Inglaterra?</x:v>
      </x:c>
      <x:c r="I30" s="50" t="str">
        <x:v>España</x:v>
      </x:c>
      <x:c r="J30" s="50" t="str">
        <x:v>España juega contra Croacia el sábado 15 de junio en Berlín, en su primer partido de la fase de grupos de la Eurocopa 2024.</x:v>
      </x:c>
      <x:c r="K30" s="54" t="n">
        <x:v>2</x:v>
      </x:c>
      <x:c r="L30" s="54" t="str">
        <x:v>no</x:v>
      </x:c>
      <x:c r="M30" s="54" t="str">
        <x:v>yes</x:v>
      </x:c>
      <x:c r="N30" s="54" t="str">
        <x:v>no</x:v>
      </x:c>
      <x:c r="O30" s="50" t="str">
        <x:v>Correctly answered Spain.</x:v>
      </x:c>
      <x:c r="P30" s="48" t="n">
        <x:v>16646</x:v>
      </x:c>
      <x:c r="Q30" s="48" t="n">
        <x:v>44</x:v>
      </x:c>
    </x:row>
    <x:row r="31">
      <x:c r="A31" s="52" t="n">
        <x:v>9</x:v>
      </x:c>
      <x:c r="B31" s="52" t="n">
        <x:v>181</x:v>
      </x:c>
      <x:c r="C31" s="52" t="str">
        <x:v>ar</x:v>
      </x:c>
      <x:c r="D31" s="52" t="str">
        <x:v>multi_retrieval</x:v>
      </x:c>
      <x:c r="E31" s="52" t="str">
        <x:v>comparison</x:v>
      </x:c>
      <x:c r="F31" s="52" t="n">
        <x:v>0</x:v>
      </x:c>
      <x:c r="G31" s="52" t="str">
        <x:v>no_documents</x:v>
      </x:c>
      <x:c r="H31" s="50" t="str">
        <x:v>هل فازت الصين أم فرنسا بعدد أكبر من الميداليات في أولمبياد باريس 2024؟</x:v>
      </x:c>
      <x:c r="I31" s="50" t="str">
        <x:v>فازت الصين بعدد من الميداليات يفوق ما فازت به فرنسا في أولمبياد باريس 2024.</x:v>
      </x:c>
      <x:c r="J31" s="50" t="str">
        <x:v>فازت الصين بعدد أكبر من الميداليات الذهبية (40 ذهبية)، غير أن فرنسا تفوقت في إجمالي عدد الميداليات (16 ذهبية و26 فضية و22 برونزية مقابل 40 ذهبية و27 فضية و24 برونزية للصين).</x:v>
      </x:c>
      <x:c r="K31" s="54" t="n">
        <x:v>0</x:v>
      </x:c>
      <x:c r="L31" s="54" t="str">
        <x:v>no</x:v>
      </x:c>
      <x:c r="M31" s="54" t="str">
        <x:v>yes</x:v>
      </x:c>
      <x:c r="N31" s="54" t="str">
        <x:v>yes</x:v>
      </x:c>
      <x:c r="O31" s="50" t="str">
        <x:v>Contradicted itself and incorrectly claimed France had more total medals despite listing totals that show China had more.</x:v>
      </x:c>
      <x:c r="P31" s="48" t="n">
        <x:v>194</x:v>
      </x:c>
      <x:c r="Q31" s="48" t="n">
        <x:v>116</x:v>
      </x:c>
    </x:row>
    <x:row r="32">
      <x:c r="A32" s="52" t="n">
        <x:v>9</x:v>
      </x:c>
      <x:c r="B32" s="52" t="n">
        <x:v>181</x:v>
      </x:c>
      <x:c r="C32" s="52" t="str">
        <x:v>ar</x:v>
      </x:c>
      <x:c r="D32" s="52" t="str">
        <x:v>multi_retrieval</x:v>
      </x:c>
      <x:c r="E32" s="52" t="str">
        <x:v>comparison</x:v>
      </x:c>
      <x:c r="F32" s="52" t="n">
        <x:v>0</x:v>
      </x:c>
      <x:c r="G32" s="52" t="str">
        <x:v>support_only</x:v>
      </x:c>
      <x:c r="H32" s="50" t="str">
        <x:v>هل فازت الصين أم فرنسا بعدد أكبر من الميداليات في أولمبياد باريس 2024؟</x:v>
      </x:c>
      <x:c r="I32" s="50" t="str">
        <x:v>فازت الصين بعدد من الميداليات يفوق ما فازت به فرنسا في أولمبياد باريس 2024.</x:v>
      </x:c>
      <x:c r="J32" s="50" t="str">
        <x:v>فازت الصين بعدد أكبر من الميداليات، إذ حصدت 91 ميدالية مقابل 64 ميدالية لفرنسا في أولمبياد باريس 2024.</x:v>
      </x:c>
      <x:c r="K32" s="54" t="n">
        <x:v>2</x:v>
      </x:c>
      <x:c r="L32" s="54" t="str">
        <x:v>no</x:v>
      </x:c>
      <x:c r="M32" s="54" t="str">
        <x:v>yes</x:v>
      </x:c>
      <x:c r="N32" s="54" t="str">
        <x:v>no</x:v>
      </x:c>
      <x:c r="O32" s="50" t="str">
        <x:v>Correctly stated that China won more medals than France.</x:v>
      </x:c>
      <x:c r="P32" s="48" t="n">
        <x:v>4083</x:v>
      </x:c>
      <x:c r="Q32" s="48" t="n">
        <x:v>71</x:v>
      </x:c>
    </x:row>
    <x:row r="33">
      <x:c r="A33" s="52" t="n">
        <x:v>9</x:v>
      </x:c>
      <x:c r="B33" s="52" t="n">
        <x:v>181</x:v>
      </x:c>
      <x:c r="C33" s="52" t="str">
        <x:v>ar</x:v>
      </x:c>
      <x:c r="D33" s="52" t="str">
        <x:v>multi_retrieval</x:v>
      </x:c>
      <x:c r="E33" s="52" t="str">
        <x:v>comparison</x:v>
      </x:c>
      <x:c r="F33" s="52" t="n">
        <x:v>0</x:v>
      </x:c>
      <x:c r="G33" s="52" t="str">
        <x:v>all_documents</x:v>
      </x:c>
      <x:c r="H33" s="50" t="str">
        <x:v>هل فازت الصين أم فرنسا بعدد أكبر من الميداليات في أولمبياد باريس 2024؟</x:v>
      </x:c>
      <x:c r="I33" s="50" t="str">
        <x:v>فازت الصين بعدد من الميداليات يفوق ما فازت به فرنسا في أولمبياد باريس 2024.</x:v>
      </x:c>
      <x:c r="J33" s="50" t="str">
        <x:v>فازت الصين بعدد أكبر من الميداليات، إذ حصدت 91 ميدالية مقابل 64 ميدالية لفرنسا في أولمبياد باريس 2024.</x:v>
      </x:c>
      <x:c r="K33" s="54" t="n">
        <x:v>2</x:v>
      </x:c>
      <x:c r="L33" s="54" t="str">
        <x:v>no</x:v>
      </x:c>
      <x:c r="M33" s="54" t="str">
        <x:v>yes</x:v>
      </x:c>
      <x:c r="N33" s="54" t="str">
        <x:v>no</x:v>
      </x:c>
      <x:c r="O33" s="50" t="str">
        <x:v>Correctly stated that China won more medals than France.</x:v>
      </x:c>
      <x:c r="P33" s="48" t="n">
        <x:v>17404</x:v>
      </x:c>
      <x:c r="Q33" s="48" t="n">
        <x:v>71</x:v>
      </x:c>
    </x:row>
    <x:row r="34">
      <x:c r="A34" s="52" t="n">
        <x:v>10</x:v>
      </x:c>
      <x:c r="B34" s="52" t="n">
        <x:v>513</x:v>
      </x:c>
      <x:c r="C34" s="52" t="str">
        <x:v>es</x:v>
      </x:c>
      <x:c r="D34" s="52" t="str">
        <x:v>multi_retrieval</x:v>
      </x:c>
      <x:c r="E34" s="52" t="str">
        <x:v>comparison</x:v>
      </x:c>
      <x:c r="F34" s="52" t="n">
        <x:v>2</x:v>
      </x:c>
      <x:c r="G34" s="52" t="str">
        <x:v>no_documents</x:v>
      </x:c>
      <x:c r="H34" s="50" t="str">
        <x:v>¿Qué ataque causó más muertes: el ataque con buscapersonas o el ataque con dispositivos explosivos?</x:v>
      </x:c>
      <x:c r="I34" s="50" t="str">
        <x:v>El ataque con dispositivos explosivos causó más muertes, 24 personas fallecidas, en comparación con el ataque con buscapersonas, que causó al menos nueve muertes.</x:v>
      </x:c>
      <x:c r="J34" s="50" t="str">
        <x:v>El ataque con dispositivos walkie-talkies causó más muertes que el ataque con buscapersonas, con al menos 20 muertos frente a los aproximadamente 12 del día anterior.</x:v>
      </x:c>
      <x:c r="K34" s="54" t="n">
        <x:v>1</x:v>
      </x:c>
      <x:c r="L34" s="54" t="str">
        <x:v>no</x:v>
      </x:c>
      <x:c r="M34" s="54" t="str">
        <x:v>yes</x:v>
      </x:c>
      <x:c r="N34" s="54" t="str">
        <x:v>yes</x:v>
      </x:c>
      <x:c r="O34" s="50" t="str">
        <x:v>Correctly chose the later explosive-device attack as deadlier, but gave death totals that do not match the gold answer.</x:v>
      </x:c>
      <x:c r="P34" s="48" t="n">
        <x:v>183</x:v>
      </x:c>
      <x:c r="Q34" s="48" t="n">
        <x:v>53</x:v>
      </x:c>
    </x:row>
    <x:row r="35">
      <x:c r="A35" s="52" t="n">
        <x:v>10</x:v>
      </x:c>
      <x:c r="B35" s="52" t="n">
        <x:v>513</x:v>
      </x:c>
      <x:c r="C35" s="52" t="str">
        <x:v>es</x:v>
      </x:c>
      <x:c r="D35" s="52" t="str">
        <x:v>multi_retrieval</x:v>
      </x:c>
      <x:c r="E35" s="52" t="str">
        <x:v>comparison</x:v>
      </x:c>
      <x:c r="F35" s="52" t="n">
        <x:v>2</x:v>
      </x:c>
      <x:c r="G35" s="52" t="str">
        <x:v>support_only</x:v>
      </x:c>
      <x:c r="H35" s="50" t="str">
        <x:v>¿Qué ataque causó más muertes: el ataque con buscapersonas o el ataque con dispositivos explosivos?</x:v>
      </x:c>
      <x:c r="I35" s="50" t="str">
        <x:v>El ataque con dispositivos explosivos causó más muertes, 24 personas fallecidas, en comparación con el ataque con buscapersonas, que causó al menos nueve muertes.</x:v>
      </x:c>
      <x:c r="J35" s="50" t="str">
        <x:v>Según los documentos, el ataque con buscapersonas causó 12 muertos y el ataque con dispositivos de radio (walkie-talkies) también causó 12 muertos, resultando en un empate en número de víctimas fatales.</x:v>
      </x:c>
      <x:c r="K35" s="54" t="n">
        <x:v>0</x:v>
      </x:c>
      <x:c r="L35" s="54" t="str">
        <x:v>no</x:v>
      </x:c>
      <x:c r="M35" s="54" t="str">
        <x:v>yes</x:v>
      </x:c>
      <x:c r="N35" s="54" t="str">
        <x:v>yes</x:v>
      </x:c>
      <x:c r="O35" s="50" t="str">
        <x:v>Incorrectly concluded the attacks were tied at 12 deaths each.</x:v>
      </x:c>
      <x:c r="P35" s="48" t="n">
        <x:v>4659</x:v>
      </x:c>
      <x:c r="Q35" s="48" t="n">
        <x:v>66</x:v>
      </x:c>
    </x:row>
    <x:row r="36">
      <x:c r="A36" s="52" t="n">
        <x:v>10</x:v>
      </x:c>
      <x:c r="B36" s="52" t="n">
        <x:v>513</x:v>
      </x:c>
      <x:c r="C36" s="52" t="str">
        <x:v>es</x:v>
      </x:c>
      <x:c r="D36" s="52" t="str">
        <x:v>multi_retrieval</x:v>
      </x:c>
      <x:c r="E36" s="52" t="str">
        <x:v>comparison</x:v>
      </x:c>
      <x:c r="F36" s="52" t="n">
        <x:v>2</x:v>
      </x:c>
      <x:c r="G36" s="52" t="str">
        <x:v>all_documents</x:v>
      </x:c>
      <x:c r="H36" s="50" t="str">
        <x:v>¿Qué ataque causó más muertes: el ataque con buscapersonas o el ataque con dispositivos explosivos?</x:v>
      </x:c>
      <x:c r="I36" s="50" t="str">
        <x:v>El ataque con dispositivos explosivos causó más muertes, 24 personas fallecidas, en comparación con el ataque con buscapersonas, que causó al menos nueve muertes.</x:v>
      </x:c>
      <x:c r="J36" s="50" t="str">
        <x:v>Según los documentos, el ataque con buscapersonas causó 12 muertos y el ataque con dispositivos de radio (walkie-talkies) también causó 12 muertos, resultando en un empate en número de víctimas fatales.</x:v>
      </x:c>
      <x:c r="K36" s="54" t="n">
        <x:v>0</x:v>
      </x:c>
      <x:c r="L36" s="54" t="str">
        <x:v>no</x:v>
      </x:c>
      <x:c r="M36" s="54" t="str">
        <x:v>yes</x:v>
      </x:c>
      <x:c r="N36" s="54" t="str">
        <x:v>yes</x:v>
      </x:c>
      <x:c r="O36" s="50" t="str">
        <x:v>Incorrectly concluded the attacks were tied at 12 deaths each.</x:v>
      </x:c>
      <x:c r="P36" s="48" t="n">
        <x:v>20627</x:v>
      </x:c>
      <x:c r="Q36" s="48" t="n">
        <x:v>66</x:v>
      </x:c>
    </x:row>
    <x:row r="37">
      <x:c r="A37" s="52" t="n">
        <x:v>11</x:v>
      </x:c>
      <x:c r="B37" s="52" t="n">
        <x:v>58</x:v>
      </x:c>
      <x:c r="C37" s="52" t="str">
        <x:v>ar</x:v>
      </x:c>
      <x:c r="D37" s="52" t="str">
        <x:v>mono_retrieval</x:v>
      </x:c>
      <x:c r="E37" s="52" t="str">
        <x:v>set</x:v>
      </x:c>
      <x:c r="F37" s="52" t="n">
        <x:v>0</x:v>
      </x:c>
      <x:c r="G37" s="52" t="str">
        <x:v>no_documents</x:v>
      </x:c>
      <x:c r="H37" s="50" t="str">
        <x:v>من هم الحكام الذين أداروا أبرز المباريات النهائية في البطولات الدولية لكرة القدم؟</x:v>
      </x:c>
      <x:c r="I37" s="50" t="str">
        <x:v>أدار البولندي سيمون مارسينياك نهائي كأس العالم 2022، والذي يعد من أبرز المباريات في البطولات الدولية لكرة القدم، كما أدار وكليمنت توربين (فرنسا) نهائي الدوري الأوروبي 2021 ونهائي دوري أبطال أوروبا.</x:v>
      </x:c>
      <x:c r="J37" s="50" t="str">
        <x:v>حكم المباريات النهائية الكبرى حكامٌ بارزون أمثال بيير لوب داسيه في نهائي مونديال 2006، وهوارد ويب في نهائي 2010، ونيستور بيتانا في نهائي 2014، وسانتي يوسف في نهائي 2022.</x:v>
      </x:c>
      <x:c r="K37" s="54" t="n">
        <x:v>0</x:v>
      </x:c>
      <x:c r="L37" s="54" t="str">
        <x:v>no</x:v>
      </x:c>
      <x:c r="M37" s="54" t="str">
        <x:v>yes</x:v>
      </x:c>
      <x:c r="N37" s="54" t="str">
        <x:v>yes</x:v>
      </x:c>
      <x:c r="O37" s="50" t="str">
        <x:v>Named mostly incorrect referees and omitted the gold-answer pair.</x:v>
      </x:c>
      <x:c r="P37" s="48" t="n">
        <x:v>194</x:v>
      </x:c>
      <x:c r="Q37" s="48" t="n">
        <x:v>110</x:v>
      </x:c>
    </x:row>
    <x:row r="38">
      <x:c r="A38" s="52" t="n">
        <x:v>11</x:v>
      </x:c>
      <x:c r="B38" s="52" t="n">
        <x:v>58</x:v>
      </x:c>
      <x:c r="C38" s="52" t="str">
        <x:v>ar</x:v>
      </x:c>
      <x:c r="D38" s="52" t="str">
        <x:v>mono_retrieval</x:v>
      </x:c>
      <x:c r="E38" s="52" t="str">
        <x:v>set</x:v>
      </x:c>
      <x:c r="F38" s="52" t="n">
        <x:v>0</x:v>
      </x:c>
      <x:c r="G38" s="52" t="str">
        <x:v>support_only</x:v>
      </x:c>
      <x:c r="H38" s="50" t="str">
        <x:v>من هم الحكام الذين أداروا أبرز المباريات النهائية في البطولات الدولية لكرة القدم؟</x:v>
      </x:c>
      <x:c r="I38" s="50" t="str">
        <x:v>أدار البولندي سيمون مارسينياك نهائي كأس العالم 2022، والذي يعد من أبرز المباريات في البطولات الدولية لكرة القدم، كما أدار وكليمنت توربين (فرنسا) نهائي الدوري الأوروبي 2021 ونهائي دوري أبطال أوروبا.</x:v>
      </x:c>
      <x:c r="J38" s="50" t="str">
        <x:v>استناداً إلى الوثيقة، أدار سيمون مارتشينياك نهائي كأس العالم 2022، وأدار دانييلي أورساتو نهائي دوري أبطال أوروبا 2020، فيما أدار كليمان تورباين نهائي دوري أبطال أوروبا 2022.</x:v>
      </x:c>
      <x:c r="K38" s="54" t="n">
        <x:v>1</x:v>
      </x:c>
      <x:c r="L38" s="54" t="str">
        <x:v>no</x:v>
      </x:c>
      <x:c r="M38" s="54" t="str">
        <x:v>yes</x:v>
      </x:c>
      <x:c r="N38" s="54" t="str">
        <x:v>yes</x:v>
      </x:c>
      <x:c r="O38" s="50" t="str">
        <x:v>Correctly included Szymon Marciniak and Clement Turpin, but missed Turpin's Europa League final and added another referee.</x:v>
      </x:c>
      <x:c r="P38" s="48" t="n">
        <x:v>2377</x:v>
      </x:c>
      <x:c r="Q38" s="48" t="n">
        <x:v>113</x:v>
      </x:c>
    </x:row>
    <x:row r="39">
      <x:c r="A39" s="52" t="n">
        <x:v>11</x:v>
      </x:c>
      <x:c r="B39" s="52" t="n">
        <x:v>58</x:v>
      </x:c>
      <x:c r="C39" s="52" t="str">
        <x:v>ar</x:v>
      </x:c>
      <x:c r="D39" s="52" t="str">
        <x:v>mono_retrieval</x:v>
      </x:c>
      <x:c r="E39" s="52" t="str">
        <x:v>set</x:v>
      </x:c>
      <x:c r="F39" s="52" t="n">
        <x:v>0</x:v>
      </x:c>
      <x:c r="G39" s="52" t="str">
        <x:v>all_documents</x:v>
      </x:c>
      <x:c r="H39" s="50" t="str">
        <x:v>من هم الحكام الذين أداروا أبرز المباريات النهائية في البطولات الدولية لكرة القدم؟</x:v>
      </x:c>
      <x:c r="I39" s="50" t="str">
        <x:v>أدار البولندي سيمون مارسينياك نهائي كأس العالم 2022، والذي يعد من أبرز المباريات في البطولات الدولية لكرة القدم، كما أدار وكليمنت توربين (فرنسا) نهائي الدوري الأوروبي 2021 ونهائي دوري أبطال أوروبا.</x:v>
      </x:c>
      <x:c r="J39" s="50" t="str">
        <x:v>استناداً إلى الوثائق، أدار مارك كلاتنبرغ نهائيات دوري أبطال أوروبا وبطولة أوروبا 2016، فيما أدار هاوارد ويب نهائي كأس العالم 2010، وسيمون مارتشينياك نهائي كأس العالم 2022.</x:v>
      </x:c>
      <x:c r="K39" s="54" t="n">
        <x:v>1</x:v>
      </x:c>
      <x:c r="L39" s="54" t="str">
        <x:v>no</x:v>
      </x:c>
      <x:c r="M39" s="54" t="str">
        <x:v>yes</x:v>
      </x:c>
      <x:c r="N39" s="54" t="str">
        <x:v>yes</x:v>
      </x:c>
      <x:c r="O39" s="50" t="str">
        <x:v>Correctly included Marciniak but omitted Clement Turpin and added other referees not required by the gold answer.</x:v>
      </x:c>
      <x:c r="P39" s="48" t="n">
        <x:v>17575</x:v>
      </x:c>
      <x:c r="Q39" s="48" t="n">
        <x:v>116</x:v>
      </x:c>
    </x:row>
    <x:row r="40">
      <x:c r="A40" s="52" t="n">
        <x:v>12</x:v>
      </x:c>
      <x:c r="B40" s="52" t="n">
        <x:v>1556</x:v>
      </x:c>
      <x:c r="C40" s="52" t="str">
        <x:v>ar</x:v>
      </x:c>
      <x:c r="D40" s="52" t="str">
        <x:v>mono_retrieval</x:v>
      </x:c>
      <x:c r="E40" s="52" t="str">
        <x:v>set</x:v>
      </x:c>
      <x:c r="F40" s="52" t="n">
        <x:v>0</x:v>
      </x:c>
      <x:c r="G40" s="52" t="str">
        <x:v>no_documents</x:v>
      </x:c>
      <x:c r="H40" s="50" t="str">
        <x:v>ما الرموز التي تم استبدالها على تمثال الوطن الأم في كييف بأوكرانيا؟</x:v>
      </x:c>
      <x:c r="I40" s="50" t="str">
        <x:v>استبدلت أوكرانيا المطرقة والمنجل السوفييتيين على تمثال الوطن الأم في كييف بشعار النبالة الأوكراني ذي الرؤوس الثلاثة</x:v>
      </x:c>
      <x:c r="J40" s="50" t="str">
        <x:v>استُبدل الرمز السوفيتي (المطرقة والمنجل) على درع تمثال الوطن الأم في كييف بالتريزوب، وهو الشعار الوطني الأوكراني، عام 2023.</x:v>
      </x:c>
      <x:c r="K40" s="54" t="n">
        <x:v>2</x:v>
      </x:c>
      <x:c r="L40" s="54" t="str">
        <x:v>no</x:v>
      </x:c>
      <x:c r="M40" s="54" t="str">
        <x:v>yes</x:v>
      </x:c>
      <x:c r="N40" s="54" t="str">
        <x:v>no</x:v>
      </x:c>
      <x:c r="O40" s="50" t="str">
        <x:v>Correctly identified the Soviet hammer and sickle being replaced by Ukraine's trident.</x:v>
      </x:c>
      <x:c r="P40" s="48" t="n">
        <x:v>191</x:v>
      </x:c>
      <x:c r="Q40" s="48" t="n">
        <x:v>80</x:v>
      </x:c>
    </x:row>
    <x:row r="41">
      <x:c r="A41" s="52" t="n">
        <x:v>12</x:v>
      </x:c>
      <x:c r="B41" s="52" t="n">
        <x:v>1556</x:v>
      </x:c>
      <x:c r="C41" s="52" t="str">
        <x:v>ar</x:v>
      </x:c>
      <x:c r="D41" s="52" t="str">
        <x:v>mono_retrieval</x:v>
      </x:c>
      <x:c r="E41" s="52" t="str">
        <x:v>set</x:v>
      </x:c>
      <x:c r="F41" s="52" t="n">
        <x:v>0</x:v>
      </x:c>
      <x:c r="G41" s="52" t="str">
        <x:v>support_only</x:v>
      </x:c>
      <x:c r="H41" s="50" t="str">
        <x:v>ما الرموز التي تم استبدالها على تمثال الوطن الأم في كييف بأوكرانيا؟</x:v>
      </x:c>
      <x:c r="I41" s="50" t="str">
        <x:v>استبدلت أوكرانيا المطرقة والمنجل السوفييتيين على تمثال الوطن الأم في كييف بشعار النبالة الأوكراني ذي الرؤوس الثلاثة</x:v>
      </x:c>
      <x:c r="J41" s="50" t="str">
        <x:v>تم استبدال رمز المطرقة والمنجل السوفيتي على درع تمثال "الوطن الأم" بشعار ثلاثي الشعب الأوكراني.</x:v>
      </x:c>
      <x:c r="K41" s="54" t="n">
        <x:v>2</x:v>
      </x:c>
      <x:c r="L41" s="54" t="str">
        <x:v>no</x:v>
      </x:c>
      <x:c r="M41" s="54" t="str">
        <x:v>yes</x:v>
      </x:c>
      <x:c r="N41" s="54" t="str">
        <x:v>no</x:v>
      </x:c>
      <x:c r="O41" s="50" t="str">
        <x:v>Correctly identified the Soviet hammer and sickle being replaced by the Ukrainian trident.</x:v>
      </x:c>
      <x:c r="P41" s="48" t="n">
        <x:v>1762</x:v>
      </x:c>
      <x:c r="Q41" s="48" t="n">
        <x:v>65</x:v>
      </x:c>
    </x:row>
    <x:row r="42">
      <x:c r="A42" s="52" t="n">
        <x:v>12</x:v>
      </x:c>
      <x:c r="B42" s="52" t="n">
        <x:v>1556</x:v>
      </x:c>
      <x:c r="C42" s="52" t="str">
        <x:v>ar</x:v>
      </x:c>
      <x:c r="D42" s="52" t="str">
        <x:v>mono_retrieval</x:v>
      </x:c>
      <x:c r="E42" s="52" t="str">
        <x:v>set</x:v>
      </x:c>
      <x:c r="F42" s="52" t="n">
        <x:v>0</x:v>
      </x:c>
      <x:c r="G42" s="52" t="str">
        <x:v>all_documents</x:v>
      </x:c>
      <x:c r="H42" s="50" t="str">
        <x:v>ما الرموز التي تم استبدالها على تمثال الوطن الأم في كييف بأوكرانيا؟</x:v>
      </x:c>
      <x:c r="I42" s="50" t="str">
        <x:v>استبدلت أوكرانيا المطرقة والمنجل السوفييتيين على تمثال الوطن الأم في كييف بشعار النبالة الأوكراني ذي الرؤوس الثلاثة</x:v>
      </x:c>
      <x:c r="J42" s="50" t="str">
        <x:v>استُبدل رمز المطرقة والمنجل السوفيتي على درع تمثال "الوطن الأم" في كييف بالنسر الثلاثي الأوكراني (التريزوب) في أغسطس 2023.</x:v>
      </x:c>
      <x:c r="K42" s="54" t="n">
        <x:v>2</x:v>
      </x:c>
      <x:c r="L42" s="54" t="str">
        <x:v>no</x:v>
      </x:c>
      <x:c r="M42" s="54" t="str">
        <x:v>yes</x:v>
      </x:c>
      <x:c r="N42" s="54" t="str">
        <x:v>yes</x:v>
      </x:c>
      <x:c r="O42" s="50" t="str">
        <x:v>Correctly identified the replacement, but incorrectly described the trident as an eagle before naming it as the tryzub.</x:v>
      </x:c>
      <x:c r="P42" s="48" t="n">
        <x:v>16963</x:v>
      </x:c>
      <x:c r="Q42" s="48" t="n">
        <x:v>81</x:v>
      </x:c>
    </x:row>
    <x:row r="43">
      <x:c r="A43" s="52" t="n">
        <x:v>13</x:v>
      </x:c>
      <x:c r="B43" s="52" t="n">
        <x:v>342</x:v>
      </x:c>
      <x:c r="C43" s="52" t="str">
        <x:v>ar</x:v>
      </x:c>
      <x:c r="D43" s="52" t="str">
        <x:v>mono_retrieval</x:v>
      </x:c>
      <x:c r="E43" s="52" t="str">
        <x:v>aggregation</x:v>
      </x:c>
      <x:c r="F43" s="52" t="n">
        <x:v>1</x:v>
      </x:c>
      <x:c r="G43" s="52" t="str">
        <x:v>no_documents</x:v>
      </x:c>
      <x:c r="H43" s="50" t="str">
        <x:v>كم عدد القصص في الموسم الثالث من مسلسل "بريدجيرتون" التي أثارت ردود فعل متباينة بين المعجبين؟</x:v>
      </x:c>
      <x:c r="I43" s="50" t="str">
        <x:v>أثارت قصتان في الموسم الثالث من مسلسل "بريدجيرتون" ردود فعل متباينة بين المعجبين.</x:v>
      </x:c>
      <x:c r="J43" s="50" t="str">
        <x:v>استناداً إلى التقارير، أثارت قصة الموسم الثالث من مسلسل "بريدجيرتون" التي تتمحور حول كولين وبينيلوبي ردود فعل متباينة بين المعجبين، إذ فضّل كثيرون رؤية قصص شخصيات أخرى أولاً.</x:v>
      </x:c>
      <x:c r="K43" s="54" t="n">
        <x:v>1</x:v>
      </x:c>
      <x:c r="L43" s="54" t="str">
        <x:v>no</x:v>
      </x:c>
      <x:c r="M43" s="54" t="str">
        <x:v>yes</x:v>
      </x:c>
      <x:c r="N43" s="54" t="str">
        <x:v>no</x:v>
      </x:c>
      <x:c r="O43" s="50" t="str">
        <x:v>Identified one disputed storyline but did not give the required count of two.</x:v>
      </x:c>
      <x:c r="P43" s="48" t="n">
        <x:v>208</x:v>
      </x:c>
      <x:c r="Q43" s="48" t="n">
        <x:v>117</x:v>
      </x:c>
    </x:row>
    <x:row r="44">
      <x:c r="A44" s="52" t="n">
        <x:v>13</x:v>
      </x:c>
      <x:c r="B44" s="52" t="n">
        <x:v>342</x:v>
      </x:c>
      <x:c r="C44" s="52" t="str">
        <x:v>ar</x:v>
      </x:c>
      <x:c r="D44" s="52" t="str">
        <x:v>mono_retrieval</x:v>
      </x:c>
      <x:c r="E44" s="52" t="str">
        <x:v>aggregation</x:v>
      </x:c>
      <x:c r="F44" s="52" t="n">
        <x:v>1</x:v>
      </x:c>
      <x:c r="G44" s="52" t="str">
        <x:v>support_only</x:v>
      </x:c>
      <x:c r="H44" s="50" t="str">
        <x:v>كم عدد القصص في الموسم الثالث من مسلسل "بريدجيرتون" التي أثارت ردود فعل متباينة بين المعجبين؟</x:v>
      </x:c>
      <x:c r="I44" s="50" t="str">
        <x:v>أثارت قصتان في الموسم الثالث من مسلسل "بريدجيرتون" ردود فعل متباينة بين المعجبين.</x:v>
      </x:c>
      <x:c r="J44" s="50" t="str">
        <x:v>استقطب الموسم الثالث من "بريدجيرتون" ردود فعل متباينة بشأن قصتين رئيسيتين: قصة حب كولن وبينيلوبي، وقرار تغيير جنس شخصية مايكل ستيرلينج إلى ميكايلا.</x:v>
      </x:c>
      <x:c r="K44" s="54" t="n">
        <x:v>2</x:v>
      </x:c>
      <x:c r="L44" s="54" t="str">
        <x:v>no</x:v>
      </x:c>
      <x:c r="M44" s="54" t="str">
        <x:v>yes</x:v>
      </x:c>
      <x:c r="N44" s="54" t="str">
        <x:v>no</x:v>
      </x:c>
      <x:c r="O44" s="50" t="str">
        <x:v>Correctly identified two storylines and named both.</x:v>
      </x:c>
      <x:c r="P44" s="48" t="n">
        <x:v>6365</x:v>
      </x:c>
      <x:c r="Q44" s="48" t="n">
        <x:v>105</x:v>
      </x:c>
    </x:row>
    <x:row r="45">
      <x:c r="A45" s="52" t="n">
        <x:v>13</x:v>
      </x:c>
      <x:c r="B45" s="52" t="n">
        <x:v>342</x:v>
      </x:c>
      <x:c r="C45" s="52" t="str">
        <x:v>ar</x:v>
      </x:c>
      <x:c r="D45" s="52" t="str">
        <x:v>mono_retrieval</x:v>
      </x:c>
      <x:c r="E45" s="52" t="str">
        <x:v>aggregation</x:v>
      </x:c>
      <x:c r="F45" s="52" t="n">
        <x:v>1</x:v>
      </x:c>
      <x:c r="G45" s="52" t="str">
        <x:v>all_documents</x:v>
      </x:c>
      <x:c r="H45" s="50" t="str">
        <x:v>كم عدد القصص في الموسم الثالث من مسلسل "بريدجيرتون" التي أثارت ردود فعل متباينة بين المعجبين؟</x:v>
      </x:c>
      <x:c r="I45" s="50" t="str">
        <x:v>أثارت قصتان في الموسم الثالث من مسلسل "بريدجيرتون" ردود فعل متباينة بين المعجبين.</x:v>
      </x:c>
      <x:c r="J45" s="50" t="str">
        <x:v>استناداً إلى الوثائق، أثارت قصتان رئيسيتان ردود فعل متباينة: قصة حب بينيلوبي وكولين التي رأى بعض المعجبين أنها اندفعت، وقصة فرانشيسكا مع تغيير جنس شخصية مايكل إلى ميكايلا.</x:v>
      </x:c>
      <x:c r="K45" s="54" t="n">
        <x:v>2</x:v>
      </x:c>
      <x:c r="L45" s="54" t="str">
        <x:v>no</x:v>
      </x:c>
      <x:c r="M45" s="54" t="str">
        <x:v>yes</x:v>
      </x:c>
      <x:c r="N45" s="54" t="str">
        <x:v>no</x:v>
      </x:c>
      <x:c r="O45" s="50" t="str">
        <x:v>Correctly identified two storylines and named both.</x:v>
      </x:c>
      <x:c r="P45" s="48" t="n">
        <x:v>16435</x:v>
      </x:c>
      <x:c r="Q45" s="48" t="n">
        <x:v>119</x:v>
      </x:c>
    </x:row>
    <x:row r="46">
      <x:c r="A46" s="52" t="n">
        <x:v>14</x:v>
      </x:c>
      <x:c r="B46" s="52" t="n">
        <x:v>52</x:v>
      </x:c>
      <x:c r="C46" s="52" t="str">
        <x:v>ar</x:v>
      </x:c>
      <x:c r="D46" s="52" t="str">
        <x:v>multi_retrieval</x:v>
      </x:c>
      <x:c r="E46" s="52" t="str">
        <x:v>comparison</x:v>
      </x:c>
      <x:c r="F46" s="52" t="n">
        <x:v>2</x:v>
      </x:c>
      <x:c r="G46" s="52" t="str">
        <x:v>no_documents</x:v>
      </x:c>
      <x:c r="H46" s="50" t="str">
        <x:v>أي الحدثين وقع أولاً، اغتيال زعيم حماس إسماعيل هنية أم توقيع إعلان بكين؟</x:v>
      </x:c>
      <x:c r="I46" s="50" t="str">
        <x:v>وُقع على إعلان بكين (23 يوليو) أولاً.</x:v>
      </x:c>
      <x:c r="J46" s="50" t="str">
        <x:v>وقّع إعلان بكين في 23 يوليو 2024، ثم اغتيل إسماعيل هنية في 31 يوليو 2024، أي أن إعلان بكين جاء أولاً.</x:v>
      </x:c>
      <x:c r="K46" s="54" t="n">
        <x:v>2</x:v>
      </x:c>
      <x:c r="L46" s="54" t="str">
        <x:v>no</x:v>
      </x:c>
      <x:c r="M46" s="54" t="str">
        <x:v>yes</x:v>
      </x:c>
      <x:c r="N46" s="54" t="str">
        <x:v>no</x:v>
      </x:c>
      <x:c r="O46" s="50" t="str">
        <x:v>Correctly stated that the Beijing Declaration came first.</x:v>
      </x:c>
      <x:c r="P46" s="48" t="n">
        <x:v>201</x:v>
      </x:c>
      <x:c r="Q46" s="48" t="n">
        <x:v>74</x:v>
      </x:c>
    </x:row>
    <x:row r="47">
      <x:c r="A47" s="52" t="n">
        <x:v>14</x:v>
      </x:c>
      <x:c r="B47" s="52" t="n">
        <x:v>52</x:v>
      </x:c>
      <x:c r="C47" s="52" t="str">
        <x:v>ar</x:v>
      </x:c>
      <x:c r="D47" s="52" t="str">
        <x:v>multi_retrieval</x:v>
      </x:c>
      <x:c r="E47" s="52" t="str">
        <x:v>comparison</x:v>
      </x:c>
      <x:c r="F47" s="52" t="n">
        <x:v>2</x:v>
      </x:c>
      <x:c r="G47" s="52" t="str">
        <x:v>support_only</x:v>
      </x:c>
      <x:c r="H47" s="50" t="str">
        <x:v>أي الحدثين وقع أولاً، اغتيال زعيم حماس إسماعيل هنية أم توقيع إعلان بكين؟</x:v>
      </x:c>
      <x:c r="I47" s="50" t="str">
        <x:v>وُقع على إعلان بكين (23 يوليو) أولاً.</x:v>
      </x:c>
      <x:c r="J47" s="50" t="str">
        <x:v>وقع توقيع إعلان بكين للمصالحة الفلسطينية في 23 يوليو 2024 قبل اغتيال إسماعيل هنية الذي جرى في 31 يوليو 2024.</x:v>
      </x:c>
      <x:c r="K47" s="54" t="n">
        <x:v>2</x:v>
      </x:c>
      <x:c r="L47" s="54" t="str">
        <x:v>no</x:v>
      </x:c>
      <x:c r="M47" s="54" t="str">
        <x:v>yes</x:v>
      </x:c>
      <x:c r="N47" s="54" t="str">
        <x:v>no</x:v>
      </x:c>
      <x:c r="O47" s="50" t="str">
        <x:v>Correctly stated that the Beijing Declaration came first.</x:v>
      </x:c>
      <x:c r="P47" s="48" t="n">
        <x:v>6193</x:v>
      </x:c>
      <x:c r="Q47" s="48" t="n">
        <x:v>77</x:v>
      </x:c>
    </x:row>
    <x:row r="48">
      <x:c r="A48" s="52" t="n">
        <x:v>14</x:v>
      </x:c>
      <x:c r="B48" s="52" t="n">
        <x:v>52</x:v>
      </x:c>
      <x:c r="C48" s="52" t="str">
        <x:v>ar</x:v>
      </x:c>
      <x:c r="D48" s="52" t="str">
        <x:v>multi_retrieval</x:v>
      </x:c>
      <x:c r="E48" s="52" t="str">
        <x:v>comparison</x:v>
      </x:c>
      <x:c r="F48" s="52" t="n">
        <x:v>2</x:v>
      </x:c>
      <x:c r="G48" s="52" t="str">
        <x:v>all_documents</x:v>
      </x:c>
      <x:c r="H48" s="50" t="str">
        <x:v>أي الحدثين وقع أولاً، اغتيال زعيم حماس إسماعيل هنية أم توقيع إعلان بكين؟</x:v>
      </x:c>
      <x:c r="I48" s="50" t="str">
        <x:v>وُقع على إعلان بكين (23 يوليو) أولاً.</x:v>
      </x:c>
      <x:c r="J48" s="50" t="str">
        <x:v>وقّعت الفصائل الفلسطينية إعلان بكين في 23 يوليو 2024، بينما اغتيل إسماعيل هنية في 31 يوليو 2024، أي أن إعلان بكين سبق الاغتيال بأسبوع.</x:v>
      </x:c>
      <x:c r="K48" s="54" t="n">
        <x:v>2</x:v>
      </x:c>
      <x:c r="L48" s="54" t="str">
        <x:v>no</x:v>
      </x:c>
      <x:c r="M48" s="54" t="str">
        <x:v>yes</x:v>
      </x:c>
      <x:c r="N48" s="54" t="str">
        <x:v>no</x:v>
      </x:c>
      <x:c r="O48" s="50" t="str">
        <x:v>Correctly stated that the Beijing Declaration came first.</x:v>
      </x:c>
      <x:c r="P48" s="48" t="n">
        <x:v>17925</x:v>
      </x:c>
      <x:c r="Q48" s="48" t="n">
        <x:v>95</x:v>
      </x:c>
    </x:row>
    <x:row r="49">
      <x:c r="A49" s="52" t="n">
        <x:v>15</x:v>
      </x:c>
      <x:c r="B49" s="52" t="n">
        <x:v>160</x:v>
      </x:c>
      <x:c r="C49" s="52" t="str">
        <x:v>es</x:v>
      </x:c>
      <x:c r="D49" s="52" t="str">
        <x:v>multi_retrieval</x:v>
      </x:c>
      <x:c r="E49" s="52" t="str">
        <x:v>comparison</x:v>
      </x:c>
      <x:c r="F49" s="52" t="n">
        <x:v>0</x:v>
      </x:c>
      <x:c r="G49" s="52" t="str">
        <x:v>no_documents</x:v>
      </x:c>
      <x:c r="H49" s="50" t="str">
        <x:v>¿Qué acuerdo entre Rusia y Corea del Norte incluye más áreas, la asociación integral o el pacto de asistencia mutua en caso de agresión?</x:v>
      </x:c>
      <x:c r="I49" s="50" t="str">
        <x:v>El acuerdo de asociación integral entre Rusia y Corea del Norte incluye más áreas que el pacto de asistencia mutua en caso de agresión. La asociación integral abarca la seguridad, el comercio, la inversión, la cooperación cultural, la atención médica, la ciencia y los proyectos de infraestructura como un puente vial. En cambio, el pacto de asistencia mutua en caso de agresión se centra principalmente en la ayuda mutua en caso de ataque.</x:v>
      </x:c>
      <x:c r="J49" s="50" t="str">
        <x:v>La asociación estratégica integral firmada en junio de 2024 abarca más áreas, incluyendo cooperación política, económica, cultural y de seguridad, mientras que el pacto de asistencia mutua es solo una cláusula dentro de ese acuerdo.</x:v>
      </x:c>
      <x:c r="K49" s="54" t="n">
        <x:v>2</x:v>
      </x:c>
      <x:c r="L49" s="54" t="str">
        <x:v>no</x:v>
      </x:c>
      <x:c r="M49" s="54" t="str">
        <x:v>yes</x:v>
      </x:c>
      <x:c r="N49" s="54" t="str">
        <x:v>no</x:v>
      </x:c>
      <x:c r="O49" s="50" t="str">
        <x:v>Correctly identified the comprehensive partnership as covering more areas.</x:v>
      </x:c>
      <x:c r="P49" s="48" t="n">
        <x:v>195</x:v>
      </x:c>
      <x:c r="Q49" s="48" t="n">
        <x:v>68</x:v>
      </x:c>
    </x:row>
    <x:row r="50">
      <x:c r="A50" s="52" t="n">
        <x:v>15</x:v>
      </x:c>
      <x:c r="B50" s="52" t="n">
        <x:v>160</x:v>
      </x:c>
      <x:c r="C50" s="52" t="str">
        <x:v>es</x:v>
      </x:c>
      <x:c r="D50" s="52" t="str">
        <x:v>multi_retrieval</x:v>
      </x:c>
      <x:c r="E50" s="52" t="str">
        <x:v>comparison</x:v>
      </x:c>
      <x:c r="F50" s="52" t="n">
        <x:v>0</x:v>
      </x:c>
      <x:c r="G50" s="52" t="str">
        <x:v>support_only</x:v>
      </x:c>
      <x:c r="H50" s="50" t="str">
        <x:v>¿Qué acuerdo entre Rusia y Corea del Norte incluye más áreas, la asociación integral o el pacto de asistencia mutua en caso de agresión?</x:v>
      </x:c>
      <x:c r="I50" s="50" t="str">
        <x:v>El acuerdo de asociación integral entre Rusia y Corea del Norte incluye más áreas que el pacto de asistencia mutua en caso de agresión. La asociación integral abarca la seguridad, el comercio, la inversión, la cooperación cultural, la atención médica, la ciencia y los proyectos de infraestructura como un puente vial. En cambio, el pacto de asistencia mutua en caso de agresión se centra principalmente en la ayuda mutua en caso de ataque.</x:v>
      </x:c>
      <x:c r="J50" s="50" t="str">
        <x:v>La asociación integral cubre más áreas, incluyendo seguridad, comercio, inversión, cooperación cultural, humanitaria y militar-técnica, mientras que el pacto de asistencia mutua se limita a la defensa mutua en caso de ataque.</x:v>
      </x:c>
      <x:c r="K50" s="54" t="n">
        <x:v>2</x:v>
      </x:c>
      <x:c r="L50" s="54" t="str">
        <x:v>no</x:v>
      </x:c>
      <x:c r="M50" s="54" t="str">
        <x:v>yes</x:v>
      </x:c>
      <x:c r="N50" s="54" t="str">
        <x:v>no</x:v>
      </x:c>
      <x:c r="O50" s="50" t="str">
        <x:v>Correctly identified the comprehensive partnership as covering more areas.</x:v>
      </x:c>
      <x:c r="P50" s="48" t="n">
        <x:v>1651</x:v>
      </x:c>
      <x:c r="Q50" s="48" t="n">
        <x:v>65</x:v>
      </x:c>
    </x:row>
    <x:row r="51">
      <x:c r="A51" s="52" t="n">
        <x:v>15</x:v>
      </x:c>
      <x:c r="B51" s="52" t="n">
        <x:v>160</x:v>
      </x:c>
      <x:c r="C51" s="52" t="str">
        <x:v>es</x:v>
      </x:c>
      <x:c r="D51" s="52" t="str">
        <x:v>multi_retrieval</x:v>
      </x:c>
      <x:c r="E51" s="52" t="str">
        <x:v>comparison</x:v>
      </x:c>
      <x:c r="F51" s="52" t="n">
        <x:v>0</x:v>
      </x:c>
      <x:c r="G51" s="52" t="str">
        <x:v>all_documents</x:v>
      </x:c>
      <x:c r="H51" s="50" t="str">
        <x:v>¿Qué acuerdo entre Rusia y Corea del Norte incluye más áreas, la asociación integral o el pacto de asistencia mutua en caso de agresión?</x:v>
      </x:c>
      <x:c r="I51" s="50" t="str">
        <x:v>El acuerdo de asociación integral entre Rusia y Corea del Norte incluye más áreas que el pacto de asistencia mutua en caso de agresión. La asociación integral abarca la seguridad, el comercio, la inversión, la cooperación cultural, la atención médica, la ciencia y los proyectos de infraestructura como un puente vial. En cambio, el pacto de asistencia mutua en caso de agresión se centra principalmente en la ayuda mutua en caso de ataque.</x:v>
      </x:c>
      <x:c r="J51" s="50" t="str">
        <x:v>La Asociación Estratégica Integral incluye más áreas, abarcando seguridad, comercio, inversión, cooperación científica, cultural y humanitaria, mientras que el pacto de asistencia mutua es solo una cláusula dentro de ese mismo tratado.</x:v>
      </x:c>
      <x:c r="K51" s="54" t="n">
        <x:v>2</x:v>
      </x:c>
      <x:c r="L51" s="54" t="str">
        <x:v>no</x:v>
      </x:c>
      <x:c r="M51" s="54" t="str">
        <x:v>yes</x:v>
      </x:c>
      <x:c r="N51" s="54" t="str">
        <x:v>no</x:v>
      </x:c>
      <x:c r="O51" s="50" t="str">
        <x:v>Correctly identified the comprehensive partnership as covering more areas.</x:v>
      </x:c>
      <x:c r="P51" s="48" t="n">
        <x:v>15414</x:v>
      </x:c>
      <x:c r="Q51" s="48" t="n">
        <x:v>68</x:v>
      </x:c>
    </x:row>
    <x:row r="52">
      <x:c r="A52" s="52" t="n">
        <x:v>16</x:v>
      </x:c>
      <x:c r="B52" s="52" t="n">
        <x:v>118</x:v>
      </x:c>
      <x:c r="C52" s="52" t="str">
        <x:v>ar</x:v>
      </x:c>
      <x:c r="D52" s="52" t="str">
        <x:v>multi_retrieval</x:v>
      </x:c>
      <x:c r="E52" s="52" t="str">
        <x:v>set</x:v>
      </x:c>
      <x:c r="F52" s="52" t="n">
        <x:v>1</x:v>
      </x:c>
      <x:c r="G52" s="52" t="str">
        <x:v>no_documents</x:v>
      </x:c>
      <x:c r="H52" s="50" t="str">
        <x:v>من القادة المشاركون في محادثات وقف إطلاق النار مع إسرائيل في النزاعات الأخيرة؟</x:v>
      </x:c>
      <x:c r="I52" s="50" t="str">
        <x:v>يشارك رئيس الوزراء الإسرائيلي بنيامين نتنياهو والرئيس الأمريكي جو بايدن في مناقشات وقف إطلاق النار مع إسرائيل في النزاعات الأخيرة ويناقش نتنياهو مقترحات وقف إطلاق النار مع مجلس الوزراء الأمني الإسرائيلي، ويدعم بايدن اتفاق وقف إطلاق النار بين إسرائيل وحزب الله.</x:v>
      </x:c>
      <x:c r="J52" s="50" t="str">
        <x:v>شارك في محادثات وقف إطلاق النار مع إسرائيل قادة من حركة حماس وحزب الله، إلى جانب وسطاء من مصر وقطر وتركيا والولايات المتحدة.</x:v>
      </x:c>
      <x:c r="K52" s="54" t="n">
        <x:v>0</x:v>
      </x:c>
      <x:c r="L52" s="54" t="str">
        <x:v>no</x:v>
      </x:c>
      <x:c r="M52" s="54" t="str">
        <x:v>yes</x:v>
      </x:c>
      <x:c r="N52" s="54" t="str">
        <x:v>yes</x:v>
      </x:c>
      <x:c r="O52" s="50" t="str">
        <x:v>Named militant-group leaders and mediators instead of Benjamin Netanyahu and Joe Biden.</x:v>
      </x:c>
      <x:c r="P52" s="48" t="n">
        <x:v>196</x:v>
      </x:c>
      <x:c r="Q52" s="48" t="n">
        <x:v>80</x:v>
      </x:c>
    </x:row>
    <x:row r="53">
      <x:c r="A53" s="52" t="n">
        <x:v>16</x:v>
      </x:c>
      <x:c r="B53" s="52" t="n">
        <x:v>118</x:v>
      </x:c>
      <x:c r="C53" s="52" t="str">
        <x:v>ar</x:v>
      </x:c>
      <x:c r="D53" s="52" t="str">
        <x:v>multi_retrieval</x:v>
      </x:c>
      <x:c r="E53" s="52" t="str">
        <x:v>set</x:v>
      </x:c>
      <x:c r="F53" s="52" t="n">
        <x:v>1</x:v>
      </x:c>
      <x:c r="G53" s="52" t="str">
        <x:v>support_only</x:v>
      </x:c>
      <x:c r="H53" s="50" t="str">
        <x:v>من القادة المشاركون في محادثات وقف إطلاق النار مع إسرائيل في النزاعات الأخيرة؟</x:v>
      </x:c>
      <x:c r="I53" s="50" t="str">
        <x:v>يشارك رئيس الوزراء الإسرائيلي بنيامين نتنياهو والرئيس الأمريكي جو بايدن في مناقشات وقف إطلاق النار مع إسرائيل في النزاعات الأخيرة ويناقش نتنياهو مقترحات وقف إطلاق النار مع مجلس الوزراء الأمني الإسرائيلي، ويدعم بايدن اتفاق وقف إطلاق النار بين إسرائيل وحزب الله.</x:v>
      </x:c>
      <x:c r="J53" s="50" t="str">
        <x:v>استناداً إلى الوثائق المسترجعة، شارك الرئيس الأمريكي جو بايدن في التوسط لوقف إطلاق النار بين إسرائيل وحزب الله، فيما وافق رئيس الوزراء الإسرائيلي بنيامين نتنياهو على الاتفاق في نوفمبر 2024.</x:v>
      </x:c>
      <x:c r="K53" s="54" t="n">
        <x:v>2</x:v>
      </x:c>
      <x:c r="L53" s="54" t="str">
        <x:v>no</x:v>
      </x:c>
      <x:c r="M53" s="54" t="str">
        <x:v>yes</x:v>
      </x:c>
      <x:c r="N53" s="54" t="str">
        <x:v>no</x:v>
      </x:c>
      <x:c r="O53" s="50" t="str">
        <x:v>Correctly identified Joe Biden and Benjamin Netanyahu and their ceasefire roles.</x:v>
      </x:c>
      <x:c r="P53" s="48" t="n">
        <x:v>4824</x:v>
      </x:c>
      <x:c r="Q53" s="48" t="n">
        <x:v>125</x:v>
      </x:c>
    </x:row>
    <x:row r="54">
      <x:c r="A54" s="52" t="n">
        <x:v>16</x:v>
      </x:c>
      <x:c r="B54" s="52" t="n">
        <x:v>118</x:v>
      </x:c>
      <x:c r="C54" s="52" t="str">
        <x:v>ar</x:v>
      </x:c>
      <x:c r="D54" s="52" t="str">
        <x:v>multi_retrieval</x:v>
      </x:c>
      <x:c r="E54" s="52" t="str">
        <x:v>set</x:v>
      </x:c>
      <x:c r="F54" s="52" t="n">
        <x:v>1</x:v>
      </x:c>
      <x:c r="G54" s="52" t="str">
        <x:v>all_documents</x:v>
      </x:c>
      <x:c r="H54" s="50" t="str">
        <x:v>من القادة المشاركون في محادثات وقف إطلاق النار مع إسرائيل في النزاعات الأخيرة؟</x:v>
      </x:c>
      <x:c r="I54" s="50" t="str">
        <x:v>يشارك رئيس الوزراء الإسرائيلي بنيامين نتنياهو والرئيس الأمريكي جو بايدن في مناقشات وقف إطلاق النار مع إسرائيل في النزاعات الأخيرة ويناقش نتنياهو مقترحات وقف إطلاق النار مع مجلس الوزراء الأمني الإسرائيلي، ويدعم بايدن اتفاق وقف إطلاق النار بين إسرائيل وحزب الله.</x:v>
      </x:c>
      <x:c r="J54" s="50" t="str">
        <x:v>وفقاً للوثائق، شارك في محادثات وقف إطلاق النار كلٌّ من الرئيس الأمريكي جو بايدن، ورئيس الوزراء الإسرائيلي بنيامين نتنياهو، ووسطاء من مصر وقطر والولايات المتحدة، إضافةً إلى قيادات حركة حماس وحزب الله.</x:v>
      </x:c>
      <x:c r="K54" s="54" t="n">
        <x:v>2</x:v>
      </x:c>
      <x:c r="L54" s="54" t="str">
        <x:v>no</x:v>
      </x:c>
      <x:c r="M54" s="54" t="str">
        <x:v>yes</x:v>
      </x:c>
      <x:c r="N54" s="54" t="str">
        <x:v>no</x:v>
      </x:c>
      <x:c r="O54" s="50" t="str">
        <x:v>Correctly identified Biden and Netanyahu; the additional mediators and groups were relevant context.</x:v>
      </x:c>
      <x:c r="P54" s="48" t="n">
        <x:v>18482</x:v>
      </x:c>
      <x:c r="Q54" s="48" t="n">
        <x:v>136</x:v>
      </x:c>
    </x:row>
    <x:row r="55">
      <x:c r="A55" s="52" t="n">
        <x:v>17</x:v>
      </x:c>
      <x:c r="B55" s="52" t="n">
        <x:v>47</x:v>
      </x:c>
      <x:c r="C55" s="52" t="str">
        <x:v>es</x:v>
      </x:c>
      <x:c r="D55" s="52" t="str">
        <x:v>mono_retrieval</x:v>
      </x:c>
      <x:c r="E55" s="52" t="str">
        <x:v>comparison</x:v>
      </x:c>
      <x:c r="F55" s="52" t="n">
        <x:v>1</x:v>
      </x:c>
      <x:c r="G55" s="52" t="str">
        <x:v>no_documents</x:v>
      </x:c>
      <x:c r="H55" s="50" t="str">
        <x:v>¿Qué acusación contra Billy Ray Cyrus es más grave, abuso psicológico o el uso indebido de sustancias?</x:v>
      </x:c>
      <x:c r="I55" s="50" t="str">
        <x:v>El abuso psicológico es más grave que el uso indebido de sustancias en las acusaciones contra Billy Ray Cyrus.</x:v>
      </x:c>
      <x:c r="J55" s="50" t="str">
        <x:v>Según los informes, la acusación más grave contra Billy Ray Cyrus fue el abuso psicológico, descrito por su exesposa Firerose como comportamiento controlador y emocionalmente destructivo durante su matrimonio.</x:v>
      </x:c>
      <x:c r="K55" s="54" t="n">
        <x:v>2</x:v>
      </x:c>
      <x:c r="L55" s="54" t="str">
        <x:v>no</x:v>
      </x:c>
      <x:c r="M55" s="54" t="str">
        <x:v>yes</x:v>
      </x:c>
      <x:c r="N55" s="54" t="str">
        <x:v>no</x:v>
      </x:c>
      <x:c r="O55" s="50" t="str">
        <x:v>Correctly identified psychological abuse as the more serious allegation.</x:v>
      </x:c>
      <x:c r="P55" s="48" t="n">
        <x:v>185</x:v>
      </x:c>
      <x:c r="Q55" s="48" t="n">
        <x:v>57</x:v>
      </x:c>
    </x:row>
    <x:row r="56">
      <x:c r="A56" s="52" t="n">
        <x:v>17</x:v>
      </x:c>
      <x:c r="B56" s="52" t="n">
        <x:v>47</x:v>
      </x:c>
      <x:c r="C56" s="52" t="str">
        <x:v>es</x:v>
      </x:c>
      <x:c r="D56" s="52" t="str">
        <x:v>mono_retrieval</x:v>
      </x:c>
      <x:c r="E56" s="52" t="str">
        <x:v>comparison</x:v>
      </x:c>
      <x:c r="F56" s="52" t="n">
        <x:v>1</x:v>
      </x:c>
      <x:c r="G56" s="52" t="str">
        <x:v>support_only</x:v>
      </x:c>
      <x:c r="H56" s="50" t="str">
        <x:v>¿Qué acusación contra Billy Ray Cyrus es más grave, abuso psicológico o el uso indebido de sustancias?</x:v>
      </x:c>
      <x:c r="I56" s="50" t="str">
        <x:v>El abuso psicológico es más grave que el uso indebido de sustancias en las acusaciones contra Billy Ray Cyrus.</x:v>
      </x:c>
      <x:c r="J56" s="50" t="str">
        <x:v>Según los documentos legales, Firerose acusó a Billy Ray Cyrus de ambas cosas, pero el abuso verbal, emocional y psicológico sostenido durante años se describe con mayor detalle y gravedad que el uso de marihuana.</x:v>
      </x:c>
      <x:c r="K56" s="54" t="n">
        <x:v>2</x:v>
      </x:c>
      <x:c r="L56" s="54" t="str">
        <x:v>no</x:v>
      </x:c>
      <x:c r="M56" s="54" t="str">
        <x:v>yes</x:v>
      </x:c>
      <x:c r="N56" s="54" t="str">
        <x:v>no</x:v>
      </x:c>
      <x:c r="O56" s="50" t="str">
        <x:v>Correctly identified psychological abuse as the more serious allegation.</x:v>
      </x:c>
      <x:c r="P56" s="48" t="n">
        <x:v>4183</x:v>
      </x:c>
      <x:c r="Q56" s="48" t="n">
        <x:v>65</x:v>
      </x:c>
    </x:row>
    <x:row r="57">
      <x:c r="A57" s="52" t="n">
        <x:v>17</x:v>
      </x:c>
      <x:c r="B57" s="52" t="n">
        <x:v>47</x:v>
      </x:c>
      <x:c r="C57" s="52" t="str">
        <x:v>es</x:v>
      </x:c>
      <x:c r="D57" s="52" t="str">
        <x:v>mono_retrieval</x:v>
      </x:c>
      <x:c r="E57" s="52" t="str">
        <x:v>comparison</x:v>
      </x:c>
      <x:c r="F57" s="52" t="n">
        <x:v>1</x:v>
      </x:c>
      <x:c r="G57" s="52" t="str">
        <x:v>all_documents</x:v>
      </x:c>
      <x:c r="H57" s="50" t="str">
        <x:v>¿Qué acusación contra Billy Ray Cyrus es más grave, abuso psicológico o el uso indebido de sustancias?</x:v>
      </x:c>
      <x:c r="I57" s="50" t="str">
        <x:v>El abuso psicológico es más grave que el uso indebido de sustancias en las acusaciones contra Billy Ray Cyrus.</x:v>
      </x:c>
      <x:c r="J57" s="50" t="str">
        <x:v>Según los documentos, Firerose acusó a Billy Ray Cyrus de "abuso verbal, emocional y psicológico extremo", considerado más grave, ya que el uso de sustancias fue alegado como causa de su comportamiento "impredecible y volátil".</x:v>
      </x:c>
      <x:c r="K57" s="54" t="n">
        <x:v>2</x:v>
      </x:c>
      <x:c r="L57" s="54" t="str">
        <x:v>no</x:v>
      </x:c>
      <x:c r="M57" s="54" t="str">
        <x:v>yes</x:v>
      </x:c>
      <x:c r="N57" s="54" t="str">
        <x:v>no</x:v>
      </x:c>
      <x:c r="O57" s="50" t="str">
        <x:v>Correctly identified psychological abuse as the more serious allegation.</x:v>
      </x:c>
      <x:c r="P57" s="48" t="n">
        <x:v>15407</x:v>
      </x:c>
      <x:c r="Q57" s="48" t="n">
        <x:v>70</x:v>
      </x:c>
    </x:row>
    <x:row r="58">
      <x:c r="A58" s="52" t="n">
        <x:v>18</x:v>
      </x:c>
      <x:c r="B58" s="52" t="n">
        <x:v>31</x:v>
      </x:c>
      <x:c r="C58" s="52" t="str">
        <x:v>es</x:v>
      </x:c>
      <x:c r="D58" s="52" t="str">
        <x:v>multi_retrieval</x:v>
      </x:c>
      <x:c r="E58" s="52" t="str">
        <x:v>comparison</x:v>
      </x:c>
      <x:c r="F58" s="52" t="n">
        <x:v>2</x:v>
      </x:c>
      <x:c r="G58" s="52" t="str">
        <x:v>no_documents</x:v>
      </x:c>
      <x:c r="H58" s="50" t="str">
        <x:v>¿Qué acontecimiento ocurrió primero: la intervención de Hezbolá contra Israel o la advertencia de la ONU sobre la escalada del conflicto?</x:v>
      </x:c>
      <x:c r="I58" s="50" t="str">
        <x:v>La intervención de Hezbolá contra Israel ocurrió primero.</x:v>
      </x:c>
      <x:c r="J58" s="50" t="str">
        <x:v>La advertencia de la ONU sobre la escalada del conflicto ocurrió antes, ya que Hezbolá comenzó sus ataques contra Israel en apoyo a Gaza tras el 7 de octubre de 2023, mientras la ONU advirtió casi simultáneamente sobre la escalada.</x:v>
      </x:c>
      <x:c r="K58" s="54" t="n">
        <x:v>0</x:v>
      </x:c>
      <x:c r="L58" s="54" t="str">
        <x:v>no</x:v>
      </x:c>
      <x:c r="M58" s="54" t="str">
        <x:v>yes</x:v>
      </x:c>
      <x:c r="N58" s="54" t="str">
        <x:v>yes</x:v>
      </x:c>
      <x:c r="O58" s="50" t="str">
        <x:v>Reversed the order and incorrectly said the UN warning occurred first.</x:v>
      </x:c>
      <x:c r="P58" s="48" t="n">
        <x:v>192</x:v>
      </x:c>
      <x:c r="Q58" s="48" t="n">
        <x:v>72</x:v>
      </x:c>
    </x:row>
    <x:row r="59">
      <x:c r="A59" s="52" t="n">
        <x:v>18</x:v>
      </x:c>
      <x:c r="B59" s="52" t="n">
        <x:v>31</x:v>
      </x:c>
      <x:c r="C59" s="52" t="str">
        <x:v>es</x:v>
      </x:c>
      <x:c r="D59" s="52" t="str">
        <x:v>multi_retrieval</x:v>
      </x:c>
      <x:c r="E59" s="52" t="str">
        <x:v>comparison</x:v>
      </x:c>
      <x:c r="F59" s="52" t="n">
        <x:v>2</x:v>
      </x:c>
      <x:c r="G59" s="52" t="str">
        <x:v>support_only</x:v>
      </x:c>
      <x:c r="H59" s="50" t="str">
        <x:v>¿Qué acontecimiento ocurrió primero: la intervención de Hezbolá contra Israel o la advertencia de la ONU sobre la escalada del conflicto?</x:v>
      </x:c>
      <x:c r="I59" s="50" t="str">
        <x:v>La intervención de Hezbolá contra Israel ocurrió primero.</x:v>
      </x:c>
      <x:c r="J59" s="50" t="str">
        <x:v>La intervención de Hezbolá contra Israel comenzó el 8 de octubre de 2023, mientras que la advertencia de la ONU sobre la escalada ocurrió en septiembre de 2024, por lo que la intervención de Hezbolá fue primero.</x:v>
      </x:c>
      <x:c r="K59" s="54" t="n">
        <x:v>2</x:v>
      </x:c>
      <x:c r="L59" s="54" t="str">
        <x:v>no</x:v>
      </x:c>
      <x:c r="M59" s="54" t="str">
        <x:v>yes</x:v>
      </x:c>
      <x:c r="N59" s="54" t="str">
        <x:v>no</x:v>
      </x:c>
      <x:c r="O59" s="50" t="str">
        <x:v>Correctly stated that Hezbollah's intervention occurred first.</x:v>
      </x:c>
      <x:c r="P59" s="48" t="n">
        <x:v>5337</x:v>
      </x:c>
      <x:c r="Q59" s="48" t="n">
        <x:v>67</x:v>
      </x:c>
    </x:row>
    <x:row r="60">
      <x:c r="A60" s="52" t="n">
        <x:v>18</x:v>
      </x:c>
      <x:c r="B60" s="52" t="n">
        <x:v>31</x:v>
      </x:c>
      <x:c r="C60" s="52" t="str">
        <x:v>es</x:v>
      </x:c>
      <x:c r="D60" s="52" t="str">
        <x:v>multi_retrieval</x:v>
      </x:c>
      <x:c r="E60" s="52" t="str">
        <x:v>comparison</x:v>
      </x:c>
      <x:c r="F60" s="52" t="n">
        <x:v>2</x:v>
      </x:c>
      <x:c r="G60" s="52" t="str">
        <x:v>all_documents</x:v>
      </x:c>
      <x:c r="H60" s="50" t="str">
        <x:v>¿Qué acontecimiento ocurrió primero: la intervención de Hezbolá contra Israel o la advertencia de la ONU sobre la escalada del conflicto?</x:v>
      </x:c>
      <x:c r="I60" s="50" t="str">
        <x:v>La intervención de Hezbolá contra Israel ocurrió primero.</x:v>
      </x:c>
      <x:c r="J60" s="50" t="str">
        <x:v>La intervención de Hezbolá contra Israel comenzó el 8 de octubre de 2023, mientras que la advertencia de la ONU sobre la catástrofe inminente se produjo en septiembre de 2024, casi un año después.</x:v>
      </x:c>
      <x:c r="K60" s="54" t="n">
        <x:v>2</x:v>
      </x:c>
      <x:c r="L60" s="54" t="str">
        <x:v>no</x:v>
      </x:c>
      <x:c r="M60" s="54" t="str">
        <x:v>yes</x:v>
      </x:c>
      <x:c r="N60" s="54" t="str">
        <x:v>no</x:v>
      </x:c>
      <x:c r="O60" s="50" t="str">
        <x:v>Correctly stated that Hezbollah's intervention occurred first.</x:v>
      </x:c>
      <x:c r="P60" s="48" t="n">
        <x:v>20675</x:v>
      </x:c>
      <x:c r="Q60" s="48" t="n">
        <x:v>61</x:v>
      </x:c>
    </x:row>
    <x:row r="61">
      <x:c r="A61" s="52" t="n">
        <x:v>19</x:v>
      </x:c>
      <x:c r="B61" s="52" t="n">
        <x:v>180</x:v>
      </x:c>
      <x:c r="C61" s="52" t="str">
        <x:v>ar</x:v>
      </x:c>
      <x:c r="D61" s="52" t="str">
        <x:v>multi_retrieval</x:v>
      </x:c>
      <x:c r="E61" s="52" t="str">
        <x:v>aggregation</x:v>
      </x:c>
      <x:c r="F61" s="52" t="n">
        <x:v>0</x:v>
      </x:c>
      <x:c r="G61" s="52" t="str">
        <x:v>no_documents</x:v>
      </x:c>
      <x:c r="H61" s="50" t="str">
        <x:v>كم عدد الميداليات الإجمالية التي حصلت عليها فرنسا في أولمبياد باريس 2024 بما في ذلك ذهبية نيكولاس جيستين في سباق الكانو الفردي للرجال؟</x:v>
      </x:c>
      <x:c r="I61" s="50" t="str">
        <x:v>64 ميدالية</x:v>
      </x:c>
      <x:c r="J61" s="50" t="str">
        <x:v>حصلت فرنسا على 16 ميدالية ذهبية و26 فضية و22 برونزية بإجمالي 64 ميدالية في أولمبياد باريس 2024، شاملةً ذهبية نيكولاس جيستين في الكانو الفردي.</x:v>
      </x:c>
      <x:c r="K61" s="54" t="n">
        <x:v>2</x:v>
      </x:c>
      <x:c r="L61" s="54" t="str">
        <x:v>no</x:v>
      </x:c>
      <x:c r="M61" s="54" t="str">
        <x:v>yes</x:v>
      </x:c>
      <x:c r="N61" s="54" t="str">
        <x:v>no</x:v>
      </x:c>
      <x:c r="O61" s="50" t="str">
        <x:v>Correctly answered 64 medals.</x:v>
      </x:c>
      <x:c r="P61" s="48" t="n">
        <x:v>234</x:v>
      </x:c>
      <x:c r="Q61" s="48" t="n">
        <x:v>97</x:v>
      </x:c>
    </x:row>
    <x:row r="62">
      <x:c r="A62" s="52" t="n">
        <x:v>19</x:v>
      </x:c>
      <x:c r="B62" s="52" t="n">
        <x:v>180</x:v>
      </x:c>
      <x:c r="C62" s="52" t="str">
        <x:v>ar</x:v>
      </x:c>
      <x:c r="D62" s="52" t="str">
        <x:v>multi_retrieval</x:v>
      </x:c>
      <x:c r="E62" s="52" t="str">
        <x:v>aggregation</x:v>
      </x:c>
      <x:c r="F62" s="52" t="n">
        <x:v>0</x:v>
      </x:c>
      <x:c r="G62" s="52" t="str">
        <x:v>support_only</x:v>
      </x:c>
      <x:c r="H62" s="50" t="str">
        <x:v>كم عدد الميداليات الإجمالية التي حصلت عليها فرنسا في أولمبياد باريس 2024 بما في ذلك ذهبية نيكولاس جيستين في سباق الكانو الفردي للرجال؟</x:v>
      </x:c>
      <x:c r="I62" s="50" t="str">
        <x:v>64 ميدالية</x:v>
      </x:c>
      <x:c r="J62" s="50" t="str">
        <x:v>بحسب الوثيقة، حصلت فرنسا على 64 ميدالية إجمالية في أولمبياد باريس 2024، غير أن ميدالية نيكولاس جيستين تحديداً لم تُذكر في النص.</x:v>
      </x:c>
      <x:c r="K62" s="54" t="n">
        <x:v>2</x:v>
      </x:c>
      <x:c r="L62" s="54" t="str">
        <x:v>no</x:v>
      </x:c>
      <x:c r="M62" s="54" t="str">
        <x:v>yes</x:v>
      </x:c>
      <x:c r="N62" s="54" t="str">
        <x:v>no</x:v>
      </x:c>
      <x:c r="O62" s="50" t="str">
        <x:v>Correctly answered 64 medals.</x:v>
      </x:c>
      <x:c r="P62" s="48" t="n">
        <x:v>4123</x:v>
      </x:c>
      <x:c r="Q62" s="48" t="n">
        <x:v>86</x:v>
      </x:c>
    </x:row>
    <x:row r="63">
      <x:c r="A63" s="52" t="n">
        <x:v>19</x:v>
      </x:c>
      <x:c r="B63" s="52" t="n">
        <x:v>180</x:v>
      </x:c>
      <x:c r="C63" s="52" t="str">
        <x:v>ar</x:v>
      </x:c>
      <x:c r="D63" s="52" t="str">
        <x:v>multi_retrieval</x:v>
      </x:c>
      <x:c r="E63" s="52" t="str">
        <x:v>aggregation</x:v>
      </x:c>
      <x:c r="F63" s="52" t="n">
        <x:v>0</x:v>
      </x:c>
      <x:c r="G63" s="52" t="str">
        <x:v>all_documents</x:v>
      </x:c>
      <x:c r="H63" s="50" t="str">
        <x:v>كم عدد الميداليات الإجمالية التي حصلت عليها فرنسا في أولمبياد باريس 2024 بما في ذلك ذهبية نيكولاس جيستين في سباق الكانو الفردي للرجال؟</x:v>
      </x:c>
      <x:c r="I63" s="50" t="str">
        <x:v>64 ميدالية</x:v>
      </x:c>
      <x:c r="J63" s="50" t="str">
        <x:v>حصلت فرنسا على 64 ميدالية إجمالية في أولمبياد باريس 2024، منها 16 ذهبية و26 فضية و22 برونزية، وتضمنت ذهبية نيكولاس جيستين في الكانو.</x:v>
      </x:c>
      <x:c r="K63" s="54" t="n">
        <x:v>2</x:v>
      </x:c>
      <x:c r="L63" s="54" t="str">
        <x:v>no</x:v>
      </x:c>
      <x:c r="M63" s="54" t="str">
        <x:v>yes</x:v>
      </x:c>
      <x:c r="N63" s="54" t="str">
        <x:v>no</x:v>
      </x:c>
      <x:c r="O63" s="50" t="str">
        <x:v>Correctly answered 64 medals.</x:v>
      </x:c>
      <x:c r="P63" s="48" t="n">
        <x:v>19569</x:v>
      </x:c>
      <x:c r="Q63" s="48" t="n">
        <x:v>91</x:v>
      </x:c>
    </x:row>
    <x:row r="64">
      <x:c r="A64" s="52" t="n">
        <x:v>20</x:v>
      </x:c>
      <x:c r="B64" s="52" t="n">
        <x:v>368</x:v>
      </x:c>
      <x:c r="C64" s="52" t="str">
        <x:v>es</x:v>
      </x:c>
      <x:c r="D64" s="52" t="str">
        <x:v>multi_retrieval</x:v>
      </x:c>
      <x:c r="E64" s="52" t="str">
        <x:v>aggregation</x:v>
      </x:c>
      <x:c r="F64" s="52" t="n">
        <x:v>1</x:v>
      </x:c>
      <x:c r="G64" s="52" t="str">
        <x:v>no_documents</x:v>
      </x:c>
      <x:c r="H64" s="50" t="str">
        <x:v>¿Cuántos países están involucrados en las operaciones militares ampliadas de Israel y en el conflicto entre Israel y Palestina?</x:v>
      </x:c>
      <x:c r="I64" s="50" t="str">
        <x:v>Tres países están directamente involucrados en las operaciones militares ampliadas de Israel y en el conflicto entre Israel y Palestina: Israel, el Líbano (incluyendo a Hezbolá) e Irán.</x:v>
      </x:c>
      <x:c r="J64" s="50" t="str">
        <x:v>Según los informes, el conflicto involucra directamente a Israel y Palestina, con participación de países como Líbano, Irán, Yemen, Siria e Irak, sumando aproximadamente seis o más naciones en las operaciones militares ampliadas.</x:v>
      </x:c>
      <x:c r="K64" s="54" t="n">
        <x:v>0</x:v>
      </x:c>
      <x:c r="L64" s="54" t="str">
        <x:v>no</x:v>
      </x:c>
      <x:c r="M64" s="54" t="str">
        <x:v>yes</x:v>
      </x:c>
      <x:c r="N64" s="54" t="str">
        <x:v>yes</x:v>
      </x:c>
      <x:c r="O64" s="50" t="str">
        <x:v>Gave an incorrect count of six or more countries instead of three.</x:v>
      </x:c>
      <x:c r="P64" s="48" t="n">
        <x:v>185</x:v>
      </x:c>
      <x:c r="Q64" s="48" t="n">
        <x:v>70</x:v>
      </x:c>
    </x:row>
    <x:row r="65">
      <x:c r="A65" s="52" t="n">
        <x:v>20</x:v>
      </x:c>
      <x:c r="B65" s="52" t="n">
        <x:v>368</x:v>
      </x:c>
      <x:c r="C65" s="52" t="str">
        <x:v>es</x:v>
      </x:c>
      <x:c r="D65" s="52" t="str">
        <x:v>multi_retrieval</x:v>
      </x:c>
      <x:c r="E65" s="52" t="str">
        <x:v>aggregation</x:v>
      </x:c>
      <x:c r="F65" s="52" t="n">
        <x:v>1</x:v>
      </x:c>
      <x:c r="G65" s="52" t="str">
        <x:v>support_only</x:v>
      </x:c>
      <x:c r="H65" s="50" t="str">
        <x:v>¿Cuántos países están involucrados en las operaciones militares ampliadas de Israel y en el conflicto entre Israel y Palestina?</x:v>
      </x:c>
      <x:c r="I65" s="50" t="str">
        <x:v>Tres países están directamente involucrados en las operaciones militares ampliadas de Israel y en el conflicto entre Israel y Palestina: Israel, el Líbano (incluyendo a Hezbolá) e Irán.</x:v>
      </x:c>
      <x:c r="J65" s="50" t="str">
        <x:v>Según los documentos, el conflicto involucra principalmente a Israel, Palestina, Líbano, Irán, y con participación indirecta de Estados Unidos, Rusia, Turquía y Arabia Saudita, sumando aproximadamente ocho países.</x:v>
      </x:c>
      <x:c r="K65" s="54" t="n">
        <x:v>0</x:v>
      </x:c>
      <x:c r="L65" s="54" t="str">
        <x:v>no</x:v>
      </x:c>
      <x:c r="M65" s="54" t="str">
        <x:v>yes</x:v>
      </x:c>
      <x:c r="N65" s="54" t="str">
        <x:v>yes</x:v>
      </x:c>
      <x:c r="O65" s="50" t="str">
        <x:v>Gave an incorrect count of about eight countries and included indirect actors.</x:v>
      </x:c>
      <x:c r="P65" s="48" t="n">
        <x:v>3576</x:v>
      </x:c>
      <x:c r="Q65" s="48" t="n">
        <x:v>67</x:v>
      </x:c>
    </x:row>
    <x:row r="66">
      <x:c r="A66" s="52" t="n">
        <x:v>20</x:v>
      </x:c>
      <x:c r="B66" s="52" t="n">
        <x:v>368</x:v>
      </x:c>
      <x:c r="C66" s="52" t="str">
        <x:v>es</x:v>
      </x:c>
      <x:c r="D66" s="52" t="str">
        <x:v>multi_retrieval</x:v>
      </x:c>
      <x:c r="E66" s="52" t="str">
        <x:v>aggregation</x:v>
      </x:c>
      <x:c r="F66" s="52" t="n">
        <x:v>1</x:v>
      </x:c>
      <x:c r="G66" s="52" t="str">
        <x:v>all_documents</x:v>
      </x:c>
      <x:c r="H66" s="50" t="str">
        <x:v>¿Cuántos países están involucrados en las operaciones militares ampliadas de Israel y en el conflicto entre Israel y Palestina?</x:v>
      </x:c>
      <x:c r="I66" s="50" t="str">
        <x:v>Tres países están directamente involucrados en las operaciones militares ampliadas de Israel y en el conflicto entre Israel y Palestina: Israel, el Líbano (incluyendo a Hezbolá) e Irán.</x:v>
      </x:c>
      <x:c r="J66" s="50" t="str">
        <x:v>Según los documentos, el conflicto involucra directamente a Israel, Palestina, Líbano (Hezbolá), Irán, Yemen (Houthis) y con apoyo indirecto de Estados Unidos, configurando un conflicto regional ampliado.</x:v>
      </x:c>
      <x:c r="K66" s="54" t="n">
        <x:v>0</x:v>
      </x:c>
      <x:c r="L66" s="54" t="str">
        <x:v>no</x:v>
      </x:c>
      <x:c r="M66" s="54" t="str">
        <x:v>yes</x:v>
      </x:c>
      <x:c r="N66" s="54" t="str">
        <x:v>yes</x:v>
      </x:c>
      <x:c r="O66" s="50" t="str">
        <x:v>Did not provide the requested count of three and included additional countries and indirect participants.</x:v>
      </x:c>
      <x:c r="P66" s="48" t="n">
        <x:v>16125</x:v>
      </x:c>
      <x:c r="Q66" s="48" t="n">
        <x:v>69</x:v>
      </x:c>
    </x:row>
  </x:sheetData>
  <x:mergeCells>
    <x:mergeCell ref="A1:Q1"/>
    <x:mergeCell ref="A2:Q2"/>
  </x:mergeCells>
  <x:conditionalFormatting sqref="K7:K66">
    <x:cfRule type="colorScale" priority="1">
      <x:colorScale>
        <x:cfvo type="min"/>
        <x:cfvo type="percentile" val="50"/>
        <x:cfvo type="max"/>
        <x:color rgb="FFFCE4D6"/>
        <x:color rgb="FFFFF2CC"/>
        <x:color rgb="FFE2F0D9"/>
      </x:colorScale>
    </x:cfRule>
  </x:conditionalFormatting>
  <x:conditionalFormatting sqref="L7:L66">
    <x:cfRule type="expression" dxfId="0" priority="2">
      <x:formula>L7="yes"</x:formula>
    </x:cfRule>
  </x:conditionalFormatting>
  <x:conditionalFormatting sqref="M7:M66">
    <x:cfRule type="expression" dxfId="1" priority="3">
      <x:formula>M7="no"</x:formula>
    </x:cfRule>
  </x:conditionalFormatting>
  <x:conditionalFormatting sqref="N7:N66">
    <x:cfRule type="expression" dxfId="2" priority="4">
      <x:formula>N7="yes"</x:formula>
    </x:cfRule>
  </x:conditionalFormatting>
  <x:dataValidations count="4">
    <x:dataValidation type="list" sqref="K7:K66">
      <x:formula1>"0,1,2"</x:formula1>
    </x:dataValidation>
    <x:dataValidation type="list" sqref="L7:L66">
      <x:formula1>"yes,no"</x:formula1>
    </x:dataValidation>
    <x:dataValidation type="list" sqref="M7:M66">
      <x:formula1>"yes,no"</x:formula1>
    </x:dataValidation>
    <x:dataValidation type="list" sqref="N7:N66">
      <x:formula1>"yes,no"</x:formula1>
    </x:dataValidation>
  </x:dataValidations>
  <x:pageMargins left="0.7" right="0.7" top="0.75" bottom="0.75" header="0.3" footer="0.3"/>
  <x:tableParts count="1">
    <x:tablePart xmlns:r="http://schemas.openxmlformats.org/officeDocument/2006/relationships" r:id="Rc603d8f4b43e4786"/>
  </x:tableParts>
</x:worksheet>
</file>

<file path=xl/worksheets/sheet2.xml><?xml version="1.0" encoding="utf-8"?>
<x:worksheet xmlns:x="http://schemas.openxmlformats.org/spreadsheetml/2006/main">
  <x:sheetFormatPr defaultRowHeight="15"/>
  <x:cols>
    <x:col min="1" max="1" width="22" hidden="0" customWidth="1"/>
    <x:col min="2" max="2" width="42" hidden="0" customWidth="1"/>
    <x:col min="3" max="3" width="16" hidden="0" customWidth="1"/>
    <x:col min="4" max="4" width="17" hidden="0" customWidth="1"/>
    <x:col min="5" max="5" width="15" hidden="0" customWidth="1"/>
    <x:col min="6" max="6" width="17" hidden="0" customWidth="1"/>
    <x:col min="7" max="7" width="12" hidden="0" customWidth="1"/>
    <x:col min="8" max="8" width="18" hidden="0" customWidth="1"/>
  </x:cols>
  <x:sheetData>
    <x:row r="1" ht="28" customHeight="1">
      <x:c r="A1" s="4" t="str">
        <x:v>Claude Sonnet 4.6 — XRAG Pilot Summary</x:v>
      </x:c>
      <x:c r="B1" s="4"/>
      <x:c r="C1" s="4"/>
      <x:c r="D1" s="4"/>
      <x:c r="E1" s="4"/>
      <x:c r="F1" s="4"/>
      <x:c r="G1" s="4"/>
      <x:c r="H1" s="4"/>
    </x:row>
    <x:row r="2" ht="22" customHeight="1">
      <x:c r="A2" s="12" t="str">
        <x:v>Manual scoring of 60 responses across three retrieval conditions</x:v>
      </x:c>
      <x:c r="B2" s="12"/>
      <x:c r="C2" s="12"/>
      <x:c r="D2" s="12"/>
      <x:c r="E2" s="12"/>
      <x:c r="F2" s="12"/>
      <x:c r="G2" s="12"/>
      <x:c r="H2" s="12"/>
    </x:row>
    <x:row r="4" ht="30" customHeight="1">
      <x:c r="A4" s="41" t="str">
        <x:v>Condition</x:v>
      </x:c>
      <x:c r="B4" s="41" t="str">
        <x:v>Responses</x:v>
      </x:c>
      <x:c r="C4" s="41" t="str">
        <x:v>Average score</x:v>
      </x:c>
      <x:c r="D4" s="41" t="str">
        <x:v>Possible points</x:v>
      </x:c>
      <x:c r="E4" s="41" t="str">
        <x:v>Fully correct</x:v>
      </x:c>
      <x:c r="F4" s="41" t="str">
        <x:v>Partially correct</x:v>
      </x:c>
      <x:c r="G4" s="41" t="str">
        <x:v>Incorrect</x:v>
      </x:c>
      <x:c r="H4" s="41" t="str">
        <x:v>Unsupported info</x:v>
      </x:c>
    </x:row>
    <x:row r="5">
      <x:c r="A5" s="85" t="str">
        <x:v>no_documents</x:v>
      </x:c>
      <x:c r="B5" s="115" t="n">
        <x:f>COUNTIF('Scored Results'!$G$7:$G$66,A5)</x:f>
        <x:v>20</x:v>
      </x:c>
      <x:c r="C5" s="116" t="n">
        <x:f>AVERAGEIF('Scored Results'!$G$7:$G$66,A5,'Scored Results'!$K$7:$K$66)</x:f>
        <x:v>0.8</x:v>
      </x:c>
      <x:c r="D5" s="117" t="n">
        <x:f>SUMIF('Scored Results'!$G$7:$G$66,A5,'Scored Results'!$K$7:$K$66)/(B5*2)</x:f>
        <x:v>0.4</x:v>
      </x:c>
      <x:c r="E5" s="115" t="n">
        <x:f>COUNTIFS('Scored Results'!$G$7:$G$66,A5,'Scored Results'!$K$7:$K$66,2)</x:f>
        <x:v>6</x:v>
      </x:c>
      <x:c r="F5" s="115" t="n">
        <x:f>COUNTIFS('Scored Results'!$G$7:$G$66,A5,'Scored Results'!$K$7:$K$66,1)</x:f>
        <x:v>4</x:v>
      </x:c>
      <x:c r="G5" s="115" t="n">
        <x:f>COUNTIFS('Scored Results'!$G$7:$G$66,A5,'Scored Results'!$K$7:$K$66,0)</x:f>
        <x:v>10</x:v>
      </x:c>
      <x:c r="H5" s="118" t="n">
        <x:f>COUNTIFS('Scored Results'!$G$7:$G$66,A5,'Scored Results'!$N$7:$N$66,"yes")</x:f>
        <x:v>12</x:v>
      </x:c>
    </x:row>
    <x:row r="6">
      <x:c r="A6" s="149" t="str">
        <x:v>support_only</x:v>
      </x:c>
      <x:c r="B6" s="150" t="n">
        <x:f>COUNTIF('Scored Results'!$G$7:$G$66,A6)</x:f>
        <x:v>20</x:v>
      </x:c>
      <x:c r="C6" s="151" t="n">
        <x:f>AVERAGEIF('Scored Results'!$G$7:$G$66,A6,'Scored Results'!$K$7:$K$66)</x:f>
        <x:v>1.45</x:v>
      </x:c>
      <x:c r="D6" s="152" t="n">
        <x:f>SUMIF('Scored Results'!$G$7:$G$66,A6,'Scored Results'!$K$7:$K$66)/(B6*2)</x:f>
        <x:v>0.725</x:v>
      </x:c>
      <x:c r="E6" s="150" t="n">
        <x:f>COUNTIFS('Scored Results'!$G$7:$G$66,A6,'Scored Results'!$K$7:$K$66,2)</x:f>
        <x:v>12</x:v>
      </x:c>
      <x:c r="F6" s="150" t="n">
        <x:f>COUNTIFS('Scored Results'!$G$7:$G$66,A6,'Scored Results'!$K$7:$K$66,1)</x:f>
        <x:v>5</x:v>
      </x:c>
      <x:c r="G6" s="150" t="n">
        <x:f>COUNTIFS('Scored Results'!$G$7:$G$66,A6,'Scored Results'!$K$7:$K$66,0)</x:f>
        <x:v>3</x:v>
      </x:c>
      <x:c r="H6" s="153" t="n">
        <x:f>COUNTIFS('Scored Results'!$G$7:$G$66,A6,'Scored Results'!$N$7:$N$66,"yes")</x:f>
        <x:v>4</x:v>
      </x:c>
    </x:row>
    <x:row r="7">
      <x:c r="A7" s="95" t="str">
        <x:v>all_documents</x:v>
      </x:c>
      <x:c r="B7" s="123" t="n">
        <x:f>COUNTIF('Scored Results'!$G$7:$G$66,A7)</x:f>
        <x:v>20</x:v>
      </x:c>
      <x:c r="C7" s="124" t="n">
        <x:f>AVERAGEIF('Scored Results'!$G$7:$G$66,A7,'Scored Results'!$K$7:$K$66)</x:f>
        <x:v>1.35</x:v>
      </x:c>
      <x:c r="D7" s="125" t="n">
        <x:f>SUMIF('Scored Results'!$G$7:$G$66,A7,'Scored Results'!$K$7:$K$66)/(B7*2)</x:f>
        <x:v>0.675</x:v>
      </x:c>
      <x:c r="E7" s="123" t="n">
        <x:f>COUNTIFS('Scored Results'!$G$7:$G$66,A7,'Scored Results'!$K$7:$K$66,2)</x:f>
        <x:v>12</x:v>
      </x:c>
      <x:c r="F7" s="123" t="n">
        <x:f>COUNTIFS('Scored Results'!$G$7:$G$66,A7,'Scored Results'!$K$7:$K$66,1)</x:f>
        <x:v>3</x:v>
      </x:c>
      <x:c r="G7" s="123" t="n">
        <x:f>COUNTIFS('Scored Results'!$G$7:$G$66,A7,'Scored Results'!$K$7:$K$66,0)</x:f>
        <x:v>5</x:v>
      </x:c>
      <x:c r="H7" s="126" t="n">
        <x:f>COUNTIFS('Scored Results'!$G$7:$G$66,A7,'Scored Results'!$N$7:$N$66,"yes")</x:f>
        <x:v>8</x:v>
      </x:c>
    </x:row>
    <x:row r="10" ht="24" customHeight="1">
      <x:c r="A10" s="161" t="str">
        <x:v>Average Correctness by Condition and Language</x:v>
      </x:c>
      <x:c r="B10" s="161"/>
      <x:c r="C10" s="161"/>
      <x:c r="D10" s="161"/>
      <x:c r="E10" s="161"/>
      <x:c r="F10" s="161"/>
    </x:row>
    <x:row r="11">
      <x:c r="A11" s="171" t="str">
        <x:v>Condition</x:v>
      </x:c>
      <x:c r="B11" s="172" t="str">
        <x:v>ar</x:v>
      </x:c>
      <x:c r="C11" s="173" t="str">
        <x:v>es</x:v>
      </x:c>
    </x:row>
    <x:row r="12">
      <x:c r="A12" s="65" t="str">
        <x:v>no_documents</x:v>
      </x:c>
      <x:c r="B12" s="56" t="n">
        <x:f>SUMIFS('Scored Results'!$K$7:$K$66,'Scored Results'!$G$7:$G$66,$A12,'Scored Results'!$C$7:$C$66,B$11)/COUNTIFS('Scored Results'!$G$7:$G$66,$A12,'Scored Results'!$C$7:$C$66,B$11)</x:f>
        <x:v>0.8</x:v>
      </x:c>
      <x:c r="C12" s="174" t="n">
        <x:f>SUMIFS('Scored Results'!$K$7:$K$66,'Scored Results'!$G$7:$G$66,$A12,'Scored Results'!$C$7:$C$66,C$11)/COUNTIFS('Scored Results'!$G$7:$G$66,$A12,'Scored Results'!$C$7:$C$66,C$11)</x:f>
        <x:v>0.8</x:v>
      </x:c>
    </x:row>
    <x:row r="13">
      <x:c r="A13" s="65" t="str">
        <x:v>support_only</x:v>
      </x:c>
      <x:c r="B13" s="56" t="n">
        <x:f>SUMIFS('Scored Results'!$K$7:$K$66,'Scored Results'!$G$7:$G$66,$A13,'Scored Results'!$C$7:$C$66,B$11)/COUNTIFS('Scored Results'!$G$7:$G$66,$A13,'Scored Results'!$C$7:$C$66,B$11)</x:f>
        <x:v>1.7</x:v>
      </x:c>
      <x:c r="C13" s="174" t="n">
        <x:f>SUMIFS('Scored Results'!$K$7:$K$66,'Scored Results'!$G$7:$G$66,$A13,'Scored Results'!$C$7:$C$66,C$11)/COUNTIFS('Scored Results'!$G$7:$G$66,$A13,'Scored Results'!$C$7:$C$66,C$11)</x:f>
        <x:v>1.2</x:v>
      </x:c>
    </x:row>
    <x:row r="14">
      <x:c r="A14" s="68" t="str">
        <x:v>all_documents</x:v>
      </x:c>
      <x:c r="B14" s="70" t="n">
        <x:f>SUMIFS('Scored Results'!$K$7:$K$66,'Scored Results'!$G$7:$G$66,$A14,'Scored Results'!$C$7:$C$66,B$11)/COUNTIFS('Scored Results'!$G$7:$G$66,$A14,'Scored Results'!$C$7:$C$66,B$11)</x:f>
        <x:v>1.6</x:v>
      </x:c>
      <x:c r="C14" s="175" t="n">
        <x:f>SUMIFS('Scored Results'!$K$7:$K$66,'Scored Results'!$G$7:$G$66,$A14,'Scored Results'!$C$7:$C$66,C$11)/COUNTIFS('Scored Results'!$G$7:$G$66,$A14,'Scored Results'!$C$7:$C$66,C$11)</x:f>
        <x:v>1.1</x:v>
      </x:c>
    </x:row>
    <x:row r="17" ht="24" customHeight="1">
      <x:c r="A17" s="182" t="str">
        <x:v>Preliminary Findings</x:v>
      </x:c>
      <x:c r="B17" s="182"/>
      <x:c r="C17" s="182"/>
      <x:c r="D17" s="182"/>
      <x:c r="E17" s="182"/>
      <x:c r="F17" s="182"/>
      <x:c r="G17" s="182"/>
      <x:c r="H17" s="182"/>
    </x:row>
    <x:row r="18">
      <x:c r="A18" s="189" t="str">
        <x:v>Best condition</x:v>
      </x:c>
      <x:c r="B18" s="190" t="str">
        <x:v>Support-only retrieval achieved the highest average score.</x:v>
      </x:c>
    </x:row>
    <x:row r="19">
      <x:c r="A19" s="191" t="str">
        <x:v>Retrieval effect</x:v>
      </x:c>
      <x:c r="B19" s="192" t="str">
        <x:v>Relevant evidence improved performance substantially over no-document answering.</x:v>
      </x:c>
    </x:row>
    <x:row r="20">
      <x:c r="A20" s="191" t="str">
        <x:v>Distractor effect</x:v>
      </x:c>
      <x:c r="B20" s="192" t="str">
        <x:v>All-document performance remained strong but showed more unsupported information than support-only retrieval.</x:v>
      </x:c>
    </x:row>
    <x:row r="21">
      <x:c r="A21" s="191" t="str">
        <x:v>Language pattern</x:v>
      </x:c>
      <x:c r="B21" s="192" t="str">
        <x:v>Sonnet performed better on Arabic than Spanish in both document-based conditions.</x:v>
      </x:c>
    </x:row>
    <x:row r="22">
      <x:c r="A22" s="193" t="str">
        <x:v>Study limitation</x:v>
      </x:c>
      <x:c r="B22" s="194" t="str">
        <x:v>This is a 20-question pilot with manual scoring and an uneven question-type distribution.</x:v>
      </x:c>
    </x:row>
  </x:sheetData>
  <x:mergeCells>
    <x:mergeCell ref="A1:H1"/>
    <x:mergeCell ref="A2:H2"/>
    <x:mergeCell ref="A10:F10"/>
    <x:mergeCell ref="A17:H17"/>
  </x:mergeCells>
  <x:pageMargins left="0.7" right="0.7" top="0.75" bottom="0.75" header="0.3" footer="0.3"/>
  <x:drawing xmlns:r="http://schemas.openxmlformats.org/officeDocument/2006/relationships" r:id="Re80c784c6d754cbe"/>
</x:worksheet>
</file>

<file path=xl/worksheets/sheet3.xml><?xml version="1.0" encoding="utf-8"?>
<x:worksheet xmlns:x="http://schemas.openxmlformats.org/spreadsheetml/2006/main">
  <x:sheetFormatPr defaultRowHeight="15"/>
  <x:cols>
    <x:col min="1" max="1" width="28" hidden="0" customWidth="1"/>
    <x:col min="2" max="2" width="85" hidden="0" customWidth="1"/>
  </x:cols>
  <x:sheetData>
    <x:row r="1" ht="28" customHeight="1">
      <x:c r="A1" s="4" t="str">
        <x:v>XRAG Manual Scoring Rubric</x:v>
      </x:c>
      <x:c r="B1" s="4"/>
      <x:c r="C1" s="4"/>
      <x:c r="D1" s="4"/>
      <x:c r="E1" s="4"/>
      <x:c r="F1" s="4"/>
    </x:row>
    <x:row r="3">
      <x:c r="A3" s="203" t="str">
        <x:v>Field</x:v>
      </x:c>
      <x:c r="B3" s="204" t="str">
        <x:v>Definition</x:v>
      </x:c>
    </x:row>
    <x:row r="4" ht="40" customHeight="1">
      <x:c r="A4" s="191" t="str">
        <x:v>Correctness = 2</x:v>
      </x:c>
      <x:c r="B4" s="192" t="str">
        <x:v>Fully correct: contains all essential information from the gold answer; minor wording differences are acceptable.</x:v>
      </x:c>
    </x:row>
    <x:row r="5" ht="40" customHeight="1">
      <x:c r="A5" s="191" t="str">
        <x:v>Correctness = 1</x:v>
      </x:c>
      <x:c r="B5" s="192" t="str">
        <x:v>Partially correct: contains some correct information but misses an important detail, adds a meaningful error, or is too vague.</x:v>
      </x:c>
    </x:row>
    <x:row r="6" ht="40" customHeight="1">
      <x:c r="A6" s="191" t="str">
        <x:v>Correctness = 0</x:v>
      </x:c>
      <x:c r="B6" s="192" t="str">
        <x:v>Incorrect: gives the wrong answer, refuses, does not address the question, or provides no useful answer.</x:v>
      </x:c>
    </x:row>
    <x:row r="7" ht="40" customHeight="1">
      <x:c r="A7" s="191" t="str">
        <x:v>Refusal = yes</x:v>
      </x:c>
      <x:c r="B7" s="192" t="str">
        <x:v>The model refuses or avoids answering the factual question.</x:v>
      </x:c>
    </x:row>
    <x:row r="8" ht="40" customHeight="1">
      <x:c r="A8" s="191" t="str">
        <x:v>Correct language = yes</x:v>
      </x:c>
      <x:c r="B8" s="192" t="str">
        <x:v>The response is written in the same language as the question.</x:v>
      </x:c>
    </x:row>
    <x:row r="9" ht="40" customHeight="1">
      <x:c r="A9" s="191" t="str">
        <x:v>Unsupported information = yes</x:v>
      </x:c>
      <x:c r="B9" s="192" t="str">
        <x:v>The response adds claims not supported by the gold answer or the relevant retrieved documents.</x:v>
      </x:c>
    </x:row>
    <x:row r="10" ht="40" customHeight="1">
      <x:c r="A10" s="193" t="str">
        <x:v>Review notes</x:v>
      </x:c>
      <x:c r="B10" s="194" t="str">
        <x:v>Brief explanation of missing facts, incorrect facts, distractor use, refusals, or language problems.</x:v>
      </x:c>
    </x:row>
  </x:sheetData>
  <x:mergeCells>
    <x:mergeCell ref="A1:F1"/>
  </x:mergeCells>
  <x:pageMargins left="0.7" right="0.7" top="0.75" bottom="0.75" header="0.3" footer="0.3"/>
</x:worksheet>
</file>